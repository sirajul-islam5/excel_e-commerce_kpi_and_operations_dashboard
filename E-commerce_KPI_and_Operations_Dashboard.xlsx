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C:\Users\VINTAGE\Documents\"/>
    </mc:Choice>
  </mc:AlternateContent>
  <xr:revisionPtr revIDLastSave="0" documentId="13_ncr:1_{F1F04D96-670A-4E9E-8040-C30E18CD1E26}" xr6:coauthVersionLast="47" xr6:coauthVersionMax="47" xr10:uidLastSave="{00000000-0000-0000-0000-000000000000}"/>
  <bookViews>
    <workbookView xWindow="-108" yWindow="-108" windowWidth="23256" windowHeight="12456" firstSheet="5" activeTab="8" xr2:uid="{346724B3-1C49-40AE-AA36-C77CF5D6DD09}"/>
  </bookViews>
  <sheets>
    <sheet name="Data" sheetId="1" r:id="rId1"/>
    <sheet name="Dashboard" sheetId="6" r:id="rId2"/>
    <sheet name="Pivot - Business Summary" sheetId="5" r:id="rId3"/>
    <sheet name="Pivot - Purchase Patterns" sheetId="7" r:id="rId4"/>
    <sheet name="Pivot - Quality Distributation" sheetId="8" r:id="rId5"/>
    <sheet name="Pivot - Popular Products" sheetId="9" r:id="rId6"/>
    <sheet name="Pivot - Quantity" sheetId="10" r:id="rId7"/>
    <sheet name="Pivot - How long to Ship" sheetId="11" r:id="rId8"/>
    <sheet name="Pivot - Customer Satisfaction" sheetId="12" r:id="rId9"/>
  </sheets>
  <definedNames>
    <definedName name="Slicer_Gender_Value">#N/A</definedName>
    <definedName name="Slicer_Order_Mod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6" l="1"/>
  <c r="J4" i="6"/>
  <c r="H5" i="6"/>
  <c r="I5" i="6"/>
  <c r="J5" i="6"/>
  <c r="H6" i="6"/>
  <c r="I6" i="6"/>
  <c r="J6" i="6"/>
  <c r="H7" i="6"/>
  <c r="I7" i="6"/>
  <c r="J7" i="6"/>
  <c r="H8" i="6"/>
  <c r="I8" i="6"/>
  <c r="J8" i="6"/>
  <c r="H9" i="6"/>
  <c r="I9" i="6"/>
  <c r="J9" i="6"/>
  <c r="J4" i="7"/>
  <c r="K4" i="7"/>
  <c r="L4" i="7"/>
  <c r="I4" i="7"/>
  <c r="I5" i="7"/>
  <c r="J5" i="7"/>
  <c r="K5" i="7"/>
  <c r="L5" i="7"/>
  <c r="I6" i="7"/>
  <c r="J6" i="7"/>
  <c r="K6" i="7"/>
  <c r="L6" i="7"/>
  <c r="I7" i="7"/>
  <c r="J7" i="7"/>
  <c r="K7" i="7"/>
  <c r="L7" i="7"/>
  <c r="I8" i="7"/>
  <c r="J8" i="7"/>
  <c r="K8" i="7"/>
  <c r="L8" i="7"/>
  <c r="I9" i="7"/>
  <c r="J9" i="7"/>
  <c r="K9" i="7"/>
  <c r="L9" i="7"/>
  <c r="H6" i="7"/>
  <c r="H7" i="7"/>
  <c r="H8" i="7"/>
  <c r="H9" i="7"/>
  <c r="H5" i="7"/>
  <c r="K4" i="5"/>
  <c r="J4" i="5"/>
  <c r="I4" i="5"/>
  <c r="H4" i="5"/>
  <c r="G4" i="5"/>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c r="O2070" i="1" a="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c r="O1806" i="1" a="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c r="O1548" i="1" a="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c r="O858" i="1" a="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c r="O541" i="1" a="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<sst xmlns="http://schemas.openxmlformats.org/spreadsheetml/2006/main" count="14735" uniqueCount="2528">
  <si>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</si>
  <si>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</si>
  <si>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</si>
  <si>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</si>
  <si>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</si>
  <si>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</si>
  <si>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</si>
  <si>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</si>
  <si>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</si>
  <si>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</si>
  <si>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</si>
  <si>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</si>
  <si>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</si>
  <si>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</si>
  <si>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</si>
  <si>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</si>
  <si>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</si>
  <si>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</si>
  <si>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</si>
  <si>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</si>
  <si>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</si>
  <si>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</si>
  <si>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</si>
  <si>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</si>
  <si>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</si>
  <si>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</si>
  <si>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</si>
  <si>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</si>
  <si>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</si>
  <si>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</si>
  <si>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</si>
  <si>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</si>
  <si>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</si>
  <si>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</si>
  <si>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</si>
  <si>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</si>
  <si>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</si>
  <si>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</si>
  <si>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</si>
  <si>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</si>
  <si>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</si>
  <si>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</si>
  <si>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</si>
  <si>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</si>
  <si>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</si>
  <si>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</si>
  <si>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</si>
  <si>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</si>
  <si>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</si>
  <si>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</si>
  <si>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</si>
  <si>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</si>
  <si>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</si>
  <si>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</si>
  <si>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</si>
  <si>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</si>
  <si>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</si>
  <si>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</si>
  <si>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</si>
  <si>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</si>
  <si>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</si>
  <si>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</si>
  <si>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</si>
  <si>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</si>
  <si>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</si>
  <si>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</si>
  <si>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</si>
  <si>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</si>
  <si>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</si>
  <si>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</si>
  <si>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</si>
  <si>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</si>
  <si>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</si>
  <si>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</si>
  <si>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</si>
  <si>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</si>
  <si>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</si>
  <si>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</si>
  <si>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</si>
  <si>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</si>
  <si>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</si>
  <si>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</si>
  <si>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</si>
  <si>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</si>
  <si>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</si>
  <si>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</si>
  <si>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</si>
  <si>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</si>
  <si>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</si>
  <si>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</si>
  <si>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</si>
  <si>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</si>
  <si>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</si>
  <si>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</si>
  <si>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</si>
  <si>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</si>
  <si>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</si>
  <si>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</si>
  <si>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</si>
  <si>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</si>
  <si>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</si>
  <si>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</si>
  <si>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</si>
  <si>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</si>
  <si>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</si>
  <si>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</si>
  <si>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</si>
  <si>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</si>
  <si>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</si>
  <si>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</si>
  <si>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</si>
  <si>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</si>
  <si>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</si>
  <si>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</si>
  <si>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</si>
  <si>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</si>
  <si>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</si>
  <si>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</si>
  <si>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</si>
  <si>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</si>
  <si>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</si>
  <si>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</si>
  <si>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</si>
  <si>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</si>
  <si>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</si>
  <si>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</si>
  <si>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</si>
  <si>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</si>
  <si>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</si>
  <si>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</si>
  <si>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</si>
  <si>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</si>
  <si>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</si>
  <si>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</si>
  <si>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</si>
  <si>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</si>
  <si>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</si>
  <si>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</si>
  <si>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</si>
  <si>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</si>
  <si>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</si>
  <si>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</si>
  <si>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</si>
  <si>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</si>
  <si>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</si>
  <si>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</si>
  <si>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</si>
  <si>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</si>
  <si>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</si>
  <si>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</si>
  <si>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</si>
  <si>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</si>
  <si>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</si>
  <si>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</si>
  <si>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</si>
  <si>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</si>
  <si>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</si>
  <si>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</si>
  <si>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</si>
  <si>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</si>
  <si>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</si>
  <si>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</si>
  <si>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</si>
  <si>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</si>
  <si>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</si>
  <si>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</si>
  <si>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</si>
  <si>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</si>
  <si>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</si>
  <si>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</si>
  <si>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</si>
  <si>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</si>
  <si>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</si>
  <si>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</si>
  <si>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</si>
  <si>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</si>
  <si>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</si>
  <si>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</si>
  <si>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</si>
  <si>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</si>
  <si>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</si>
  <si>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</si>
  <si>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</si>
  <si>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</si>
  <si>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</si>
  <si>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</si>
  <si>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</si>
  <si>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</si>
  <si>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</si>
  <si>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</si>
  <si>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</si>
  <si>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</si>
  <si>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</si>
  <si>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</si>
  <si>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</si>
  <si>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</si>
  <si>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</si>
  <si>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</si>
  <si>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</si>
  <si>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</si>
  <si>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</si>
  <si>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</si>
  <si>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</si>
  <si>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</si>
  <si>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</si>
  <si>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</si>
  <si>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</si>
  <si>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</si>
  <si>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</si>
  <si>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</si>
  <si>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</si>
  <si>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</si>
  <si>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</si>
  <si>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</si>
  <si>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</si>
  <si>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</si>
  <si>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</si>
  <si>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</si>
  <si>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</si>
  <si>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</si>
  <si>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</si>
  <si>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</si>
  <si>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</si>
  <si>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</si>
  <si>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</si>
  <si>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</si>
  <si>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</si>
  <si>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</si>
  <si>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</si>
  <si>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</si>
  <si>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</si>
  <si>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</si>
  <si>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</si>
  <si>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</si>
  <si>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</si>
  <si>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</si>
  <si>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</si>
  <si>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</si>
  <si>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</si>
  <si>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</si>
  <si>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</si>
  <si>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</si>
  <si>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</si>
  <si>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</si>
  <si>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</si>
  <si>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</si>
  <si>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</si>
  <si>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</si>
  <si>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</si>
  <si>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</si>
  <si>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</si>
  <si>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</si>
  <si>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</si>
  <si>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</si>
  <si>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</si>
  <si>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</si>
  <si>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</si>
  <si>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</si>
  <si>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</si>
  <si>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</si>
  <si>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</si>
  <si>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</si>
  <si>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</si>
  <si>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</si>
  <si>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</si>
  <si>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</si>
  <si>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</si>
  <si>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</si>
  <si>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</si>
  <si>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</si>
  <si>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</si>
  <si>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</si>
  <si>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</si>
  <si>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</si>
  <si>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</si>
  <si>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</si>
  <si>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</si>
  <si>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</si>
  <si>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</si>
  <si>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</si>
  <si>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</si>
  <si>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</si>
  <si>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</si>
  <si>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</si>
  <si>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</si>
  <si>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</si>
  <si>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</si>
  <si>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</si>
  <si>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</si>
  <si>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</si>
  <si>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</si>
  <si>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</si>
  <si>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</si>
  <si>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</si>
  <si>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</si>
  <si>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</si>
  <si>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</si>
  <si>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</si>
  <si>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</si>
  <si>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</si>
  <si>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</si>
  <si>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</si>
  <si>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</si>
  <si>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</si>
  <si>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</si>
  <si>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</si>
  <si>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</si>
  <si>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</si>
  <si>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</si>
  <si>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</si>
  <si>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</si>
  <si>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</si>
  <si>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</si>
  <si>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</si>
  <si>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</si>
  <si>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</si>
  <si>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</si>
  <si>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</si>
  <si>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</si>
  <si>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</si>
  <si>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</si>
  <si>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</si>
  <si>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</si>
  <si>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</si>
  <si>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</si>
  <si>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</si>
  <si>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</si>
  <si>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</si>
  <si>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</si>
  <si>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</si>
  <si>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</si>
  <si>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</si>
  <si>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</si>
  <si>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</si>
  <si>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</si>
  <si>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</si>
  <si>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</si>
  <si>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</si>
  <si>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</si>
  <si>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</si>
  <si>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</si>
  <si>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</si>
  <si>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</si>
  <si>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</si>
  <si>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</si>
  <si>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</si>
  <si>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</si>
  <si>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</si>
  <si>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</si>
  <si>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</si>
  <si>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</si>
  <si>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</si>
  <si>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</si>
  <si>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</si>
  <si>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</si>
  <si>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</si>
  <si>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</si>
  <si>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</si>
  <si>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</si>
  <si>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</si>
  <si>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</si>
  <si>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</si>
  <si>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</si>
  <si>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</si>
  <si>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</si>
  <si>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</si>
  <si>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</si>
  <si>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</si>
  <si>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</si>
  <si>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</si>
  <si>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</si>
  <si>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</si>
  <si>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</si>
  <si>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</si>
  <si>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</si>
  <si>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</si>
  <si>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</si>
  <si>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</si>
  <si>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</si>
  <si>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</si>
  <si>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</si>
  <si>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</si>
  <si>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</si>
  <si>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</si>
  <si>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</si>
  <si>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</si>
  <si>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</si>
  <si>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</si>
  <si>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</si>
  <si>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</si>
  <si>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</si>
  <si>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</si>
  <si>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</si>
  <si>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</si>
  <si>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</si>
  <si>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</si>
  <si>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</si>
  <si>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</si>
  <si>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</si>
  <si>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</si>
  <si>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</si>
  <si>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</si>
  <si>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</si>
  <si>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</si>
  <si>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</si>
  <si>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</si>
  <si>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</si>
  <si>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</si>
  <si>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</si>
  <si>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</si>
  <si>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</si>
  <si>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</si>
  <si>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</si>
  <si>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</si>
  <si>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</si>
  <si>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</si>
  <si>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</si>
  <si>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</si>
  <si>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</si>
  <si>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</si>
  <si>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</si>
  <si>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</si>
  <si>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</si>
  <si>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</si>
  <si>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</si>
  <si>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</si>
  <si>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</si>
  <si>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</si>
  <si>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</si>
  <si>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</si>
  <si>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</si>
  <si>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</si>
  <si>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</si>
  <si>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</si>
  <si>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</si>
  <si>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</si>
  <si>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</si>
  <si>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</si>
  <si>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</si>
  <si>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</si>
  <si>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</si>
  <si>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</si>
  <si>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</si>
  <si>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</si>
  <si>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</si>
  <si>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</si>
  <si>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</si>
  <si>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</si>
  <si>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</si>
  <si>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</si>
  <si>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</si>
  <si>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</si>
  <si>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</si>
  <si>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</si>
  <si>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</si>
  <si>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</si>
  <si>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</si>
  <si>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</si>
  <si>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</si>
  <si>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</si>
  <si>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</si>
  <si>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</si>
  <si>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</si>
  <si>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</si>
  <si>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</si>
  <si>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</si>
  <si>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</si>
  <si>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</si>
  <si>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</si>
  <si>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</si>
  <si>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</si>
  <si>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</si>
  <si>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</si>
  <si>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</si>
  <si>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</si>
  <si>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</si>
  <si>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</si>
  <si>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</si>
  <si>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</si>
  <si>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</si>
  <si>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</si>
  <si>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</si>
  <si>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</si>
  <si>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</si>
  <si>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</si>
  <si>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</si>
  <si>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</si>
  <si>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</si>
  <si>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</si>
  <si>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</si>
  <si>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</si>
  <si>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</si>
  <si>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</si>
  <si>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</si>
  <si>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</si>
  <si>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</si>
  <si>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</si>
  <si>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</si>
  <si>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</si>
  <si>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</si>
  <si>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</si>
  <si>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</si>
  <si>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</si>
  <si>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</si>
  <si>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</si>
  <si>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</si>
  <si>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</si>
  <si>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</si>
  <si>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</si>
  <si>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</si>
  <si>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</si>
  <si>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</si>
  <si>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</si>
  <si>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</si>
  <si>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</si>
  <si>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</si>
  <si>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</si>
  <si>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</si>
  <si>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</si>
  <si>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</si>
  <si>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</si>
  <si>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</si>
  <si>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</si>
  <si>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</si>
  <si>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</si>
  <si>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</si>
  <si>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</si>
  <si>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</si>
  <si>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</si>
  <si>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</si>
  <si>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</si>
  <si>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</si>
  <si>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</si>
  <si>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</si>
  <si>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</si>
  <si>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</si>
  <si>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</si>
  <si>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</si>
  <si>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</si>
  <si>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</si>
  <si>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</si>
  <si>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</si>
  <si>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</si>
  <si>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</si>
  <si>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</si>
  <si>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</si>
  <si>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</si>
  <si>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</si>
  <si>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</si>
  <si>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</si>
  <si>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</si>
  <si>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</si>
  <si>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</si>
  <si>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</si>
  <si>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</si>
  <si>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</si>
  <si>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</si>
  <si>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</si>
  <si>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</si>
  <si>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</si>
  <si>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</si>
  <si>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</si>
  <si>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</si>
  <si>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</si>
  <si>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</si>
  <si>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</si>
  <si>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</si>
  <si>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</si>
  <si>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</si>
  <si>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</si>
  <si>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</si>
  <si>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</si>
  <si>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</si>
  <si>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</si>
  <si>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</si>
  <si>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</si>
  <si>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</si>
  <si>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</si>
  <si>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</si>
  <si>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</si>
  <si>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</si>
  <si>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</si>
  <si>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</si>
  <si>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</si>
  <si>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</si>
  <si>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</si>
  <si>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</si>
  <si>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</si>
  <si>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</si>
  <si>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</si>
  <si>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</si>
  <si>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</si>
  <si>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</si>
  <si>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</si>
  <si>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</si>
  <si>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</si>
  <si>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</si>
  <si>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</si>
  <si>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</si>
  <si>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</si>
  <si>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</si>
  <si>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</si>
  <si>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</si>
  <si>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</si>
  <si>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</si>
  <si>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</si>
  <si>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</si>
  <si>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</si>
  <si>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</si>
  <si>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</si>
  <si>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</si>
  <si>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</si>
  <si>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</si>
  <si>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</si>
  <si>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</si>
  <si>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</si>
  <si>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</si>
  <si>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</si>
  <si>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</si>
  <si>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</si>
  <si>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</si>
  <si>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</si>
  <si>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</si>
  <si>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</si>
  <si>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</si>
  <si>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</si>
  <si>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</si>
  <si>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</si>
  <si>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</si>
  <si>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</si>
  <si>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</si>
  <si>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</si>
  <si>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</si>
  <si>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</si>
  <si>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</si>
  <si>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</si>
  <si>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</si>
  <si>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</si>
  <si>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</si>
  <si>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</si>
  <si>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</si>
  <si>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</si>
  <si>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</si>
  <si>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</si>
  <si>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</si>
  <si>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</si>
  <si>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</si>
  <si>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</si>
  <si>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</si>
  <si>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</si>
  <si>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</si>
  <si>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</si>
  <si>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</si>
  <si>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</si>
  <si>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</si>
  <si>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</si>
  <si>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</si>
  <si>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</si>
  <si>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</si>
  <si>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</si>
  <si>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</si>
  <si>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</si>
  <si>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</si>
  <si>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</si>
  <si>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</si>
  <si>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</si>
  <si>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</si>
  <si>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</si>
  <si>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</si>
  <si>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</si>
  <si>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</si>
  <si>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</si>
  <si>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</si>
  <si>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</si>
  <si>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</si>
  <si>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</si>
  <si>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</si>
  <si>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</si>
  <si>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</si>
  <si>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</si>
  <si>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</si>
  <si>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</si>
  <si>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</si>
  <si>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</si>
  <si>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</si>
  <si>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</si>
  <si>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</si>
  <si>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</si>
  <si>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</si>
  <si>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</si>
  <si>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</si>
  <si>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</si>
  <si>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</si>
  <si>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</si>
  <si>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</si>
  <si>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</si>
  <si>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</si>
  <si>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</si>
  <si>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</si>
  <si>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</si>
  <si>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</si>
  <si>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</si>
  <si>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</si>
  <si>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</si>
  <si>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</si>
  <si>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</si>
  <si>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</si>
  <si>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</si>
  <si>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</si>
  <si>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</si>
  <si>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</si>
  <si>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</si>
  <si>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</si>
  <si>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</si>
  <si>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</si>
  <si>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</si>
  <si>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</si>
  <si>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</si>
  <si>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</si>
  <si>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</si>
  <si>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</si>
  <si>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</si>
  <si>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</si>
  <si>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</si>
  <si>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</si>
  <si>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</si>
  <si>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</si>
  <si>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</si>
  <si>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</si>
  <si>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</si>
  <si>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</si>
  <si>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</si>
  <si>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</si>
  <si>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</si>
  <si>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</si>
  <si>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</si>
  <si>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</si>
  <si>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</si>
  <si>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</si>
  <si>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</si>
  <si>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</si>
  <si>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</si>
  <si>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</si>
  <si>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</si>
  <si>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</si>
  <si>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</si>
  <si>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</si>
  <si>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</si>
  <si>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</si>
  <si>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</si>
  <si>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</si>
  <si>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</si>
  <si>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</si>
  <si>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</si>
  <si>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</si>
  <si>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</si>
  <si>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</si>
  <si>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</si>
  <si>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</si>
  <si>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</si>
  <si>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</si>
  <si>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</si>
  <si>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</si>
  <si>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</si>
  <si>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</si>
  <si>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</si>
  <si>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</si>
  <si>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</si>
  <si>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</si>
  <si>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</si>
  <si>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</si>
  <si>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</si>
  <si>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</si>
  <si>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</si>
  <si>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</si>
  <si>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</si>
  <si>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</si>
  <si>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</si>
  <si>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</si>
  <si>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</si>
  <si>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</si>
  <si>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</si>
  <si>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</si>
  <si>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</si>
  <si>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</si>
  <si>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</si>
  <si>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</si>
  <si>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</si>
  <si>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</si>
  <si>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</si>
  <si>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</si>
  <si>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</si>
  <si>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</si>
  <si>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</si>
  <si>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</si>
  <si>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</si>
  <si>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</si>
  <si>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</si>
  <si>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</si>
  <si>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</si>
  <si>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</si>
  <si>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</si>
  <si>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</si>
  <si>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</si>
  <si>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</si>
  <si>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</si>
  <si>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</si>
  <si>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</si>
  <si>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</si>
  <si>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</si>
  <si>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</si>
  <si>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</si>
  <si>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</si>
  <si>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</si>
  <si>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</si>
  <si>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</si>
  <si>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</si>
  <si>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</si>
  <si>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</si>
  <si>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</si>
  <si>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</si>
  <si>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</si>
  <si>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</si>
  <si>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</si>
  <si>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</si>
  <si>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</si>
  <si>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</si>
  <si>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</si>
  <si>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</si>
  <si>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</si>
  <si>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</si>
  <si>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</si>
  <si>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</si>
  <si>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</si>
  <si>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</si>
  <si>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</si>
  <si>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</si>
  <si>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</si>
  <si>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</si>
  <si>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</si>
  <si>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</si>
  <si>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</si>
  <si>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</si>
  <si>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</si>
  <si>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</si>
  <si>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</si>
  <si>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</si>
  <si>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</si>
  <si>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</si>
  <si>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</si>
  <si>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</si>
  <si>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</si>
  <si>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</si>
  <si>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</si>
  <si>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</si>
  <si>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</si>
  <si>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</si>
  <si>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</si>
  <si>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</si>
  <si>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</si>
  <si>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</si>
  <si>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</si>
  <si>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</si>
  <si>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</si>
  <si>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</si>
  <si>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</si>
  <si>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</si>
  <si>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</si>
  <si>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</si>
  <si>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</si>
  <si>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</si>
  <si>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</si>
  <si>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</si>
  <si>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</si>
  <si>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</si>
  <si>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</si>
  <si>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</si>
  <si>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</si>
  <si>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</si>
  <si>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</si>
  <si>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</si>
  <si>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</si>
  <si>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</si>
  <si>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</si>
  <si>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</si>
  <si>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</si>
  <si>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</si>
  <si>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</si>
  <si>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</si>
  <si>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</si>
  <si>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</si>
  <si>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</si>
  <si>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</si>
  <si>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</si>
  <si>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</si>
  <si>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</si>
  <si>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</si>
  <si>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</si>
  <si>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</si>
  <si>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</si>
  <si>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</si>
  <si>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</si>
  <si>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</si>
  <si>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</si>
  <si>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</si>
  <si>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</si>
  <si>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</si>
  <si>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</si>
  <si>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</si>
  <si>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</si>
  <si>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</si>
  <si>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</si>
  <si>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</si>
  <si>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</si>
  <si>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</si>
  <si>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</si>
  <si>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</si>
  <si>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</si>
  <si>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</si>
  <si>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</si>
  <si>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</si>
  <si>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</si>
  <si>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</si>
  <si>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</si>
  <si>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</si>
  <si>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</si>
  <si>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</si>
  <si>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</si>
  <si>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</si>
  <si>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</si>
  <si>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</si>
  <si>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</si>
  <si>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</si>
  <si>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</si>
  <si>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</si>
  <si>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</si>
  <si>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</si>
  <si>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</si>
  <si>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</si>
  <si>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</si>
  <si>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</si>
  <si>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</si>
  <si>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</si>
  <si>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</si>
  <si>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</si>
  <si>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</si>
  <si>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</si>
  <si>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</si>
  <si>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</si>
  <si>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</si>
  <si>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</si>
  <si>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</si>
  <si>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</si>
  <si>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</si>
  <si>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</si>
  <si>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</si>
  <si>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</si>
  <si>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</si>
  <si>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</si>
  <si>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</si>
  <si>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</si>
  <si>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</si>
  <si>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</si>
  <si>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</si>
  <si>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</si>
  <si>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</si>
  <si>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</si>
  <si>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</si>
  <si>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</si>
  <si>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</si>
  <si>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</si>
  <si>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</si>
  <si>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</si>
  <si>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</si>
  <si>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</si>
  <si>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</si>
  <si>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</si>
  <si>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</si>
  <si>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</si>
  <si>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</si>
  <si>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</si>
  <si>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</si>
  <si>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</si>
  <si>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</si>
  <si>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</si>
  <si>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</si>
  <si>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</si>
  <si>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</si>
  <si>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</si>
  <si>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</si>
  <si>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</si>
  <si>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</si>
  <si>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</si>
  <si>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</si>
  <si>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</si>
  <si>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</si>
  <si>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</si>
  <si>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</si>
  <si>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</si>
  <si>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</si>
  <si>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</si>
  <si>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</si>
  <si>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</si>
  <si>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</si>
  <si>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</si>
  <si>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</si>
  <si>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</si>
  <si>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</si>
  <si>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</si>
  <si>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</si>
  <si>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</si>
  <si>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</si>
  <si>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</si>
  <si>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</si>
  <si>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</si>
  <si>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</si>
  <si>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</si>
  <si>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</si>
  <si>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</si>
  <si>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</si>
  <si>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</si>
  <si>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</si>
  <si>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</si>
  <si>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</si>
  <si>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</si>
  <si>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</si>
  <si>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</si>
  <si>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</si>
  <si>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</si>
  <si>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</si>
  <si>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</si>
  <si>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</si>
  <si>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</si>
  <si>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</si>
  <si>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</si>
  <si>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</si>
  <si>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</si>
  <si>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</si>
  <si>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</si>
  <si>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</si>
  <si>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</si>
  <si>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</si>
  <si>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</si>
  <si>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</si>
  <si>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</si>
  <si>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</si>
  <si>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</si>
  <si>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</si>
  <si>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</si>
  <si>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</si>
  <si>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</si>
  <si>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</si>
  <si>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</si>
  <si>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</si>
  <si>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</si>
  <si>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</si>
  <si>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</si>
  <si>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</si>
  <si>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</si>
  <si>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</si>
  <si>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</si>
  <si>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</si>
  <si>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</si>
  <si>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</si>
  <si>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</si>
  <si>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</si>
  <si>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</si>
  <si>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</si>
  <si>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</si>
  <si>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</si>
  <si>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</si>
  <si>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</si>
  <si>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</si>
  <si>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</si>
  <si>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</si>
  <si>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</si>
  <si>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</si>
  <si>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</si>
  <si>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</si>
  <si>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</si>
  <si>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</si>
  <si>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</si>
  <si>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</si>
  <si>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</si>
  <si>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</si>
  <si>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</si>
  <si>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</si>
  <si>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</si>
  <si>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</si>
  <si>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</si>
  <si>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</si>
  <si>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</si>
  <si>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</si>
  <si>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</si>
  <si>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</si>
  <si>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</si>
  <si>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</si>
  <si>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</si>
  <si>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</si>
  <si>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</si>
  <si>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</si>
  <si>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</si>
  <si>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</si>
  <si>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</si>
  <si>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</si>
  <si>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</si>
  <si>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</si>
  <si>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</si>
  <si>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</si>
  <si>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</si>
  <si>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</si>
  <si>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</si>
  <si>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</si>
  <si>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</si>
  <si>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</si>
  <si>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</si>
  <si>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</si>
  <si>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</si>
  <si>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</si>
  <si>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</si>
  <si>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</si>
  <si>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</si>
  <si>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</si>
  <si>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</si>
  <si>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</si>
  <si>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</si>
  <si>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</si>
  <si>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</si>
  <si>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</si>
  <si>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</si>
  <si>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</si>
  <si>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</si>
  <si>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</si>
  <si>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</si>
  <si>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</si>
  <si>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</si>
  <si>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</si>
  <si>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</si>
  <si>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</si>
  <si>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</si>
  <si>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</si>
  <si>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</si>
  <si>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</si>
  <si>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</si>
  <si>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</si>
  <si>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</si>
  <si>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</si>
  <si>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</si>
  <si>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</si>
  <si>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</si>
  <si>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</si>
  <si>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</si>
  <si>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</si>
  <si>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</si>
  <si>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</si>
  <si>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</si>
  <si>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</si>
  <si>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</si>
  <si>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</si>
  <si>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</si>
  <si>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</si>
  <si>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</si>
  <si>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</si>
  <si>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</si>
  <si>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</si>
  <si>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</si>
  <si>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</si>
  <si>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</si>
  <si>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</si>
  <si>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</si>
  <si>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</si>
  <si>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</si>
  <si>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</si>
  <si>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</si>
  <si>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</si>
  <si>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</si>
  <si>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</si>
  <si>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</si>
  <si>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</si>
  <si>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</si>
  <si>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</si>
  <si>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</si>
  <si>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</si>
  <si>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</si>
  <si>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</si>
  <si>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</si>
  <si>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</si>
  <si>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</si>
  <si>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</si>
  <si>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</si>
  <si>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</si>
  <si>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</si>
  <si>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</si>
  <si>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</si>
  <si>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</si>
  <si>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</si>
  <si>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</si>
  <si>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</si>
  <si>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</si>
  <si>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</si>
  <si>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</si>
  <si>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</si>
  <si>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</si>
  <si>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</si>
  <si>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</si>
  <si>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</si>
  <si>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</si>
  <si>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</si>
  <si>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</si>
  <si>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</si>
  <si>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</si>
  <si>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</si>
  <si>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</si>
  <si>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</si>
  <si>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</si>
  <si>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</si>
  <si>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</si>
  <si>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</si>
  <si>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</si>
  <si>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</si>
  <si>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</si>
  <si>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</si>
  <si>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</si>
  <si>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</si>
  <si>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</si>
  <si>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</si>
  <si>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</si>
  <si>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</si>
  <si>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</si>
  <si>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</si>
  <si>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</si>
  <si>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</si>
  <si>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</si>
  <si>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</si>
  <si>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</si>
  <si>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</si>
  <si>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</si>
  <si>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</si>
  <si>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</si>
  <si>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</si>
  <si>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</si>
  <si>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</si>
  <si>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</si>
  <si>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</si>
  <si>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</si>
  <si>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</si>
  <si>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</si>
  <si>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</si>
  <si>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</si>
  <si>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</si>
  <si>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</si>
  <si>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</si>
  <si>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</si>
  <si>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</si>
  <si>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</si>
  <si>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</si>
  <si>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</si>
  <si>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</si>
  <si>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</si>
  <si>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</si>
  <si>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</si>
  <si>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</si>
  <si>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</si>
  <si>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</si>
  <si>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</si>
  <si>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</si>
  <si>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</si>
  <si>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</si>
  <si>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</si>
  <si>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</si>
  <si>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</si>
  <si>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</si>
  <si>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</si>
  <si>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</si>
  <si>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</si>
  <si>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</si>
  <si>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</si>
  <si>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</si>
  <si>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</si>
  <si>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</si>
  <si>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</si>
  <si>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</si>
  <si>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</si>
  <si>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</si>
  <si>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</si>
  <si>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</si>
  <si>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</si>
  <si>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</si>
  <si>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</si>
  <si>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</si>
  <si>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</si>
  <si>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</si>
  <si>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</si>
  <si>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</si>
  <si>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</si>
  <si>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</si>
  <si>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</si>
  <si>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</si>
  <si>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</si>
  <si>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</si>
  <si>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</si>
  <si>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</si>
  <si>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</si>
  <si>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</si>
  <si>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</si>
  <si>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</si>
  <si>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</si>
  <si>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</si>
  <si>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</si>
  <si>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</si>
  <si>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</si>
  <si>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</si>
  <si>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</si>
  <si>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</si>
  <si>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</si>
  <si>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</si>
  <si>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</si>
  <si>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</si>
  <si>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</si>
  <si>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</si>
  <si>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</si>
  <si>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</si>
  <si>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</si>
  <si>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</si>
  <si>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</si>
  <si>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</si>
  <si>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</si>
  <si>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</si>
  <si>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</si>
  <si>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</si>
  <si>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</si>
  <si>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</si>
  <si>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</si>
  <si>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</si>
  <si>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</si>
  <si>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</si>
  <si>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</si>
  <si>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</si>
  <si>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</si>
  <si>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</si>
  <si>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</si>
  <si>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</si>
  <si>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</si>
  <si>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</si>
  <si>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</si>
  <si>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</si>
  <si>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</si>
  <si>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</si>
  <si>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</si>
  <si>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</si>
  <si>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</si>
  <si>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</si>
  <si>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</si>
  <si>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</si>
  <si>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</si>
  <si>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</si>
  <si>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</si>
  <si>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</si>
  <si>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</si>
  <si>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</si>
  <si>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</si>
  <si>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</si>
  <si>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</si>
  <si>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</si>
  <si>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</si>
  <si>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</si>
  <si>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</si>
  <si>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</si>
  <si>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</si>
  <si>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</si>
  <si>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</si>
  <si>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</si>
  <si>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</si>
  <si>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</si>
  <si>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</si>
  <si>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</si>
  <si>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</si>
  <si>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</si>
  <si>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</si>
  <si>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</si>
  <si>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</si>
  <si>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</si>
  <si>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</si>
  <si>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</si>
  <si>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</si>
  <si>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</si>
  <si>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</si>
  <si>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</si>
  <si>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</si>
  <si>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</si>
  <si>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</si>
  <si>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</si>
  <si>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</si>
  <si>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</si>
  <si>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</si>
  <si>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</si>
  <si>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</si>
  <si>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</si>
  <si>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</si>
  <si>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</si>
  <si>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</si>
  <si>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</si>
  <si>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</si>
  <si>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</si>
  <si>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</si>
  <si>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</si>
  <si>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</si>
  <si>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</si>
  <si>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</si>
  <si>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</si>
  <si>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</si>
  <si>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</si>
  <si>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</si>
  <si>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</si>
  <si>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</si>
  <si>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</si>
  <si>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</si>
  <si>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</si>
  <si>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</si>
  <si>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</si>
  <si>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</si>
  <si>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</si>
  <si>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</si>
  <si>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</si>
  <si>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</si>
  <si>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</si>
  <si>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</si>
  <si>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</si>
  <si>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</si>
  <si>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</si>
  <si>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</si>
  <si>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</si>
  <si>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</si>
  <si>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</si>
  <si>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</si>
  <si>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</si>
  <si>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</si>
  <si>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</si>
  <si>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</si>
  <si>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</si>
  <si>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</si>
  <si>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</si>
  <si>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</si>
  <si>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</si>
  <si>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</si>
  <si>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</si>
  <si>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</si>
  <si>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</si>
  <si>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</si>
  <si>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</si>
  <si>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</si>
  <si>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</si>
  <si>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</si>
  <si>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</si>
  <si>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</si>
  <si>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</si>
  <si>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</si>
  <si>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</si>
  <si>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</si>
  <si>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</si>
  <si>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</si>
  <si>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</si>
  <si>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</si>
  <si>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</si>
  <si>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</si>
  <si>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</si>
  <si>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</si>
  <si>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</si>
  <si>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</si>
  <si>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</si>
  <si>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</si>
  <si>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</si>
  <si>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</si>
  <si>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</si>
  <si>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</si>
  <si>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</si>
  <si>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</si>
  <si>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</si>
  <si>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</si>
  <si>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</si>
  <si>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</si>
  <si>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</si>
  <si>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</si>
  <si>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</si>
  <si>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</si>
  <si>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</si>
  <si>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</si>
  <si>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</si>
  <si>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</si>
  <si>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</si>
  <si>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</si>
  <si>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</si>
  <si>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</si>
  <si>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</si>
  <si>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</si>
  <si>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</si>
  <si>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</si>
  <si>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</si>
  <si>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</si>
  <si>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</si>
  <si>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</si>
  <si>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</si>
  <si>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</si>
  <si>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</si>
  <si>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</si>
  <si>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</si>
  <si>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</si>
  <si>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</si>
  <si>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</si>
  <si>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</si>
  <si>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</si>
  <si>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</si>
  <si>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</si>
  <si>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</si>
  <si>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</si>
  <si>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</si>
  <si>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</si>
  <si>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</si>
  <si>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</si>
  <si>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</si>
  <si>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</si>
  <si>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</si>
  <si>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</si>
  <si>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</si>
  <si>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</si>
  <si>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</si>
  <si>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</si>
  <si>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</si>
  <si>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</si>
  <si>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</si>
  <si>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</si>
  <si>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</si>
  <si>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</si>
  <si>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</si>
  <si>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</si>
  <si>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</si>
  <si>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</si>
  <si>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</si>
  <si>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</si>
  <si>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</si>
  <si>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</si>
  <si>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</si>
  <si>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</si>
  <si>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</si>
  <si>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</si>
  <si>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</si>
  <si>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</si>
  <si>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</si>
  <si>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</si>
  <si>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</si>
  <si>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</si>
  <si>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</si>
  <si>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</si>
  <si>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</si>
  <si>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</si>
  <si>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</si>
  <si>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</si>
  <si>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</si>
  <si>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</si>
  <si>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</si>
  <si>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</si>
  <si>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</si>
  <si>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</si>
  <si>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</si>
  <si>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</si>
  <si>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</si>
  <si>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</si>
  <si>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</si>
  <si>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</si>
  <si>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</si>
  <si>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</si>
  <si>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</si>
  <si>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</si>
  <si>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</si>
  <si>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</si>
  <si>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</si>
  <si>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</si>
  <si>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</si>
  <si>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</si>
  <si>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</si>
  <si>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</si>
  <si>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</si>
  <si>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</si>
  <si>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</si>
  <si>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</si>
  <si>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</si>
  <si>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</si>
  <si>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</si>
  <si>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</si>
  <si>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</si>
  <si>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</si>
  <si>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</si>
  <si>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</si>
  <si>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</si>
  <si>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</si>
  <si>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</si>
  <si>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</si>
  <si>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</si>
  <si>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</si>
  <si>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</si>
  <si>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</si>
  <si>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</si>
  <si>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</si>
  <si>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</si>
  <si>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</si>
  <si>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</si>
  <si>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</si>
  <si>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</si>
  <si>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</si>
  <si>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</si>
  <si>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</si>
  <si>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</si>
  <si>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</si>
  <si>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</si>
  <si>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</si>
  <si>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</si>
  <si>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</si>
  <si>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</si>
  <si>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</si>
  <si>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</si>
  <si>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</si>
  <si>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</si>
  <si>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</si>
  <si>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</si>
  <si>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</si>
  <si>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</si>
  <si>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</si>
  <si>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</si>
  <si>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</si>
  <si>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</si>
  <si>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</si>
  <si>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</si>
  <si>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</si>
  <si>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</si>
  <si>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</si>
  <si>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</si>
  <si>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</si>
  <si>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</si>
  <si>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</si>
  <si>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</si>
  <si>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</si>
  <si>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</si>
  <si>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</si>
  <si>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</si>
  <si>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</si>
  <si>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</si>
  <si>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</si>
  <si>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</si>
  <si>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</si>
  <si>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</si>
  <si>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</si>
  <si>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</si>
  <si>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</si>
  <si>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</si>
  <si>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</si>
  <si>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</si>
  <si>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</si>
  <si>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</si>
  <si>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</si>
  <si>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</si>
  <si>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</si>
  <si>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</si>
  <si>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</si>
  <si>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</si>
  <si>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</si>
  <si>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</si>
  <si>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</si>
  <si>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</si>
  <si>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</si>
  <si>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</si>
  <si>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</si>
  <si>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</si>
  <si>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</si>
  <si>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</si>
  <si>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</si>
  <si>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</si>
  <si>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</si>
  <si>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</si>
  <si>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</si>
  <si>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</si>
  <si>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</si>
  <si>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</si>
  <si>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</si>
  <si>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</si>
  <si>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</si>
  <si>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</si>
  <si>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</si>
  <si>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</si>
  <si>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</si>
  <si>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</si>
  <si>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</si>
  <si>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</si>
  <si>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</si>
  <si>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</si>
  <si>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</si>
  <si>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</si>
  <si>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</si>
  <si>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</si>
  <si>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</si>
  <si>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</si>
  <si>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</si>
  <si>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</si>
  <si>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</si>
  <si>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</si>
  <si>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</si>
  <si>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</si>
  <si>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</si>
  <si>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</si>
  <si>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</si>
  <si>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</si>
  <si>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</si>
  <si>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</si>
  <si>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</si>
  <si>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</si>
  <si>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</si>
  <si>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</si>
  <si>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</si>
  <si>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</si>
  <si>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</si>
  <si>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</si>
  <si>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</si>
  <si>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</si>
  <si>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</si>
  <si>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</si>
  <si>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</si>
  <si>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</si>
  <si>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</si>
  <si>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</si>
  <si>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</si>
  <si>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</si>
  <si>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</si>
  <si>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</si>
  <si>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</si>
  <si>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</si>
  <si>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</si>
  <si>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</si>
  <si>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</si>
  <si>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</si>
  <si>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</si>
  <si>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</si>
  <si>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</si>
  <si>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</si>
  <si>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</si>
  <si>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</si>
  <si>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</si>
  <si>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</si>
  <si>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</si>
  <si>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</si>
  <si>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</si>
  <si>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</si>
  <si>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</si>
  <si>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</si>
  <si>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</si>
  <si>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</si>
  <si>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</si>
  <si>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</si>
  <si>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</si>
  <si>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</si>
  <si>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</si>
  <si>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</si>
  <si>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</si>
  <si>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</si>
  <si>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</si>
  <si>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</si>
  <si>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</si>
  <si>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</si>
  <si>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</si>
  <si>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</si>
  <si>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</si>
  <si>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</si>
  <si>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</si>
  <si>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</si>
  <si>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</si>
  <si>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</si>
  <si>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</si>
  <si>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</si>
  <si>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</si>
  <si>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</si>
  <si>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</si>
  <si>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</si>
  <si>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</si>
  <si>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</si>
  <si>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</si>
  <si>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</si>
  <si>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</si>
  <si>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</si>
  <si>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</si>
  <si>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</si>
  <si>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</si>
  <si>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</si>
  <si>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</si>
  <si>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</si>
  <si>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</si>
  <si>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</si>
  <si>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</si>
  <si>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</si>
  <si>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</si>
  <si>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</si>
  <si>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</si>
  <si>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</si>
  <si>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</si>
  <si>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</si>
  <si>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</si>
  <si>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</si>
  <si>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</si>
  <si>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</si>
  <si>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</si>
  <si>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</si>
  <si>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</si>
  <si>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</si>
  <si>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</si>
  <si>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</si>
  <si>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</si>
  <si>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</si>
  <si>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</si>
  <si>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</si>
  <si>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</si>
  <si>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</si>
  <si>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</si>
  <si>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</si>
  <si>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</si>
  <si>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</si>
  <si>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</si>
  <si>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</si>
  <si>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</si>
  <si>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</si>
  <si>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</si>
  <si>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</si>
  <si>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</si>
  <si>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</si>
  <si>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</si>
  <si>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</si>
  <si>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</si>
  <si>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</si>
  <si>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</si>
  <si>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</si>
  <si>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</si>
  <si>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</si>
  <si>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</si>
  <si>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</si>
  <si>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</si>
  <si>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</si>
  <si>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</si>
  <si>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</si>
  <si>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</si>
  <si>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</si>
  <si>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</si>
  <si>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</si>
  <si>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</si>
  <si>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</si>
  <si>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</si>
  <si>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</si>
  <si>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</si>
  <si>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</si>
  <si>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</si>
  <si>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</si>
  <si>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</si>
  <si>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</si>
  <si>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</si>
  <si>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</si>
  <si>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</si>
  <si>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</si>
  <si>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</si>
  <si>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</si>
  <si>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</si>
  <si>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</si>
  <si>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</si>
  <si>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</si>
  <si>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</si>
  <si>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</si>
  <si>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</si>
  <si>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</si>
  <si>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</si>
  <si>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</si>
  <si>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</si>
  <si>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</si>
  <si>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</si>
  <si>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</si>
  <si>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</si>
  <si>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</si>
  <si>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</si>
  <si>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</si>
  <si>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</si>
  <si>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</si>
  <si>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</si>
  <si>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</si>
  <si>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</si>
  <si>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</si>
  <si>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</si>
  <si>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</si>
  <si>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</si>
  <si>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</si>
  <si>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</si>
  <si>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</si>
  <si>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</si>
  <si>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</si>
  <si>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</si>
  <si>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</si>
  <si>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</si>
  <si>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</si>
  <si>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</si>
  <si>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</si>
  <si>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</si>
  <si>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</si>
  <si>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</si>
  <si>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</si>
  <si>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</si>
  <si>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</si>
  <si>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</si>
  <si>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</si>
  <si>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</si>
  <si>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</si>
  <si>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</si>
  <si>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</si>
  <si>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</si>
  <si>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</si>
  <si>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</si>
  <si>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</si>
  <si>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</si>
  <si>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</si>
  <si>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</si>
  <si>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</si>
  <si>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</si>
  <si>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</si>
  <si>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</si>
  <si>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</si>
  <si>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</si>
  <si>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</si>
  <si>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</si>
  <si>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</si>
  <si>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</si>
  <si>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</si>
  <si>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</si>
  <si>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</si>
  <si>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</si>
  <si>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</si>
  <si>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</si>
  <si>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</si>
  <si>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</si>
  <si>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</si>
  <si>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</si>
  <si>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</si>
  <si>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</si>
  <si>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</si>
  <si>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</si>
  <si>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</si>
  <si>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</si>
  <si>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</si>
  <si>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</si>
  <si>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</si>
  <si>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</si>
  <si>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</si>
  <si>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</si>
  <si>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</si>
  <si>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</si>
  <si>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</si>
  <si>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</si>
  <si>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</si>
  <si>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</si>
  <si>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</si>
  <si>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</si>
  <si>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</si>
  <si>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</si>
  <si>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</si>
  <si>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</si>
  <si>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</si>
  <si>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</si>
  <si>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</si>
  <si>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</si>
  <si>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</si>
  <si>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</si>
  <si>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</si>
  <si>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</si>
  <si>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</si>
  <si>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</si>
  <si>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</si>
  <si>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</si>
  <si>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</si>
  <si>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</si>
  <si>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</si>
  <si>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</si>
  <si>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</si>
  <si>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</si>
  <si>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</si>
  <si>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</si>
  <si>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</si>
  <si>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</si>
  <si>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</si>
  <si>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</si>
  <si>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</si>
  <si>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</si>
  <si>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</si>
  <si>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</si>
  <si>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</si>
  <si>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</si>
  <si>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</si>
  <si>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</si>
  <si>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</si>
  <si>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</si>
  <si>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</si>
  <si>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</si>
  <si>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</si>
  <si>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</si>
  <si>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</si>
  <si>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</si>
  <si>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</si>
  <si>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</si>
  <si>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</si>
  <si>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</si>
  <si>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</si>
  <si>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</si>
  <si>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</si>
  <si>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</si>
  <si>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</si>
  <si>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</si>
  <si>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</si>
  <si>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</si>
  <si>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</si>
  <si>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</si>
  <si>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</si>
  <si>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</si>
  <si>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</si>
  <si>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</si>
  <si>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</si>
  <si>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</si>
  <si>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</si>
  <si>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</si>
  <si>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</si>
  <si>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</si>
  <si>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</si>
  <si>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</si>
  <si>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</si>
  <si>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</si>
  <si>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</si>
  <si>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</si>
  <si>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</si>
  <si>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</si>
  <si>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</si>
  <si>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</si>
  <si>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</si>
  <si>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</si>
  <si>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</si>
  <si>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</si>
  <si>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</si>
  <si>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</si>
  <si>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</si>
  <si>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</si>
  <si>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</si>
  <si>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</si>
  <si>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</si>
  <si>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</si>
  <si>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</si>
  <si>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</si>
  <si>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</si>
  <si>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</si>
  <si>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</si>
  <si>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</si>
  <si>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</si>
  <si>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</si>
  <si>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</si>
  <si>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</si>
  <si>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</si>
  <si>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</si>
  <si>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</si>
  <si>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</si>
  <si>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</si>
  <si>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</si>
  <si>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</si>
  <si>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</si>
  <si>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</si>
  <si>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</si>
  <si>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</si>
  <si>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</si>
  <si>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</si>
  <si>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</si>
  <si>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</si>
  <si>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</si>
  <si>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</si>
  <si>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</si>
  <si>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</si>
  <si>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</si>
  <si>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</si>
  <si>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</si>
  <si>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</si>
  <si>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</si>
  <si>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</si>
  <si>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</si>
  <si>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</si>
  <si>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</si>
  <si>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</si>
  <si>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</si>
  <si>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</si>
  <si>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</si>
  <si>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</si>
  <si>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</si>
  <si>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</si>
  <si>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</si>
  <si>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</si>
  <si>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</si>
  <si>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</si>
  <si>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</si>
  <si>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</si>
  <si>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</si>
  <si>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</si>
  <si>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</si>
  <si>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</si>
  <si>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</si>
  <si>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</si>
  <si>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</si>
  <si>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</si>
  <si>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</si>
  <si>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</si>
  <si>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</si>
  <si>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</si>
  <si>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</si>
  <si>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</si>
  <si>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</si>
  <si>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</si>
  <si>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</si>
  <si>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</si>
  <si>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</si>
  <si>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</si>
  <si>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</si>
  <si>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</si>
  <si>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</si>
  <si>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</si>
  <si>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</si>
  <si>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</si>
  <si>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</si>
  <si>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</si>
  <si>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</si>
  <si>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</si>
  <si>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</si>
  <si>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</si>
  <si>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</si>
  <si>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</si>
  <si>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</si>
  <si>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</si>
  <si>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</si>
  <si>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</si>
  <si>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</si>
  <si>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</si>
  <si>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</si>
  <si>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</si>
  <si>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</si>
  <si>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</si>
  <si>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</si>
  <si>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</si>
  <si>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</si>
  <si>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</si>
  <si>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</si>
  <si>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</si>
  <si>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</si>
  <si>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</si>
  <si>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</si>
  <si>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</si>
  <si>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</si>
  <si>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</si>
  <si>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</si>
  <si>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</si>
  <si>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</si>
  <si>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</si>
  <si>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</si>
  <si>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</si>
  <si>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</si>
  <si>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</si>
  <si>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</si>
  <si>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</si>
  <si>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</si>
  <si>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</si>
  <si>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</si>
  <si>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</si>
  <si>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</si>
  <si>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</si>
  <si>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</si>
  <si>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</si>
  <si>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</si>
  <si>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</si>
  <si>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</si>
  <si>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</si>
  <si>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</si>
  <si>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</si>
  <si>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</si>
  <si>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</si>
  <si>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</si>
  <si>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</si>
  <si>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</si>
  <si>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</si>
  <si>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</si>
  <si>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</si>
  <si>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</si>
  <si>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</si>
  <si>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</si>
  <si>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</si>
  <si>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</si>
  <si>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</si>
  <si>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</si>
  <si>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</si>
  <si>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</si>
  <si>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</si>
  <si>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</si>
  <si>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</si>
  <si>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</si>
  <si>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</si>
  <si>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</si>
  <si>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</si>
  <si>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</si>
  <si>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</si>
  <si>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</si>
  <si>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</si>
  <si>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</si>
  <si>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</si>
  <si>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</si>
  <si>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</si>
  <si>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</si>
  <si>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</si>
  <si>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</si>
  <si>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</si>
  <si>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</si>
  <si>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</si>
  <si>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</si>
  <si>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</si>
  <si>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</si>
  <si>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</si>
  <si>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</si>
  <si>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</si>
  <si>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</si>
  <si>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</si>
  <si>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</si>
  <si>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</si>
  <si>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</si>
  <si>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</si>
  <si>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</si>
  <si>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</si>
  <si>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</si>
  <si>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</si>
  <si>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</si>
  <si>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</si>
  <si>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</si>
  <si>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</si>
  <si>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</si>
  <si>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</si>
  <si>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</si>
  <si>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</si>
  <si>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</si>
  <si>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</si>
  <si>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</si>
  <si>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</si>
  <si>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</si>
  <si>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</si>
  <si>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</si>
  <si>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</si>
  <si>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</si>
  <si>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</si>
  <si>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</si>
  <si>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</si>
  <si>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</si>
  <si>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</si>
  <si>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</si>
  <si>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</si>
  <si>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</si>
  <si>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</si>
  <si>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</si>
  <si>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</si>
  <si>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</si>
  <si>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</si>
  <si>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</si>
  <si>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</si>
  <si>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</si>
  <si>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</si>
  <si>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</si>
  <si>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</si>
  <si>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</si>
  <si>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</si>
  <si>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</si>
  <si>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</si>
  <si>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</si>
  <si>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</si>
  <si>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</si>
  <si>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</si>
  <si>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</si>
  <si>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</si>
  <si>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</si>
  <si>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</si>
  <si>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</si>
  <si>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</si>
  <si>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</si>
  <si>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</si>
  <si>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</si>
  <si>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</si>
  <si>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</si>
  <si>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</si>
  <si>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</si>
  <si>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</si>
  <si>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</si>
  <si>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</si>
  <si>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</si>
  <si>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</si>
  <si>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</si>
  <si>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</si>
  <si>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</si>
  <si>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</si>
  <si>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</si>
  <si>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</si>
  <si>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</si>
  <si>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</si>
  <si>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</si>
  <si>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</si>
  <si>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</si>
  <si>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</si>
  <si>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</si>
  <si>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</si>
  <si>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</si>
  <si>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</si>
  <si>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</si>
  <si>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</si>
  <si>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</si>
  <si>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</si>
  <si>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</si>
  <si>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</si>
  <si>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</si>
  <si>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</si>
  <si>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</si>
  <si>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</si>
  <si>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</si>
  <si>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</si>
  <si>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</si>
  <si>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</si>
  <si>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</si>
  <si>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</si>
  <si>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</si>
  <si>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</si>
  <si>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</si>
  <si>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</si>
  <si>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</si>
  <si>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</si>
  <si>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</si>
  <si>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</si>
  <si>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</si>
  <si>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</si>
  <si>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</si>
  <si>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</si>
  <si>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</si>
  <si>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</si>
  <si>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</si>
  <si>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</si>
  <si>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</si>
  <si>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</si>
  <si>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</si>
  <si>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</si>
  <si>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</si>
  <si>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</si>
  <si>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</si>
  <si>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</si>
  <si>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</si>
  <si>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</si>
  <si>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</si>
  <si>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</si>
  <si>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</si>
  <si>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</si>
  <si>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</si>
  <si>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</si>
  <si>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</si>
  <si>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</si>
  <si>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</si>
  <si>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</si>
  <si>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</si>
  <si>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</si>
  <si>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</si>
  <si>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</si>
  <si>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</si>
  <si>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</si>
  <si>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</si>
  <si>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</si>
  <si>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</si>
  <si>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</si>
  <si>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</si>
  <si>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</si>
  <si>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</si>
  <si>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</si>
  <si>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</si>
  <si>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</si>
  <si>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</si>
  <si>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</si>
  <si>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</si>
  <si>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</si>
  <si>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</si>
  <si>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</si>
  <si>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</si>
  <si>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</si>
  <si>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</si>
  <si>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</si>
  <si>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</si>
  <si>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</si>
  <si>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</si>
  <si>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</si>
  <si>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</si>
  <si>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</si>
  <si>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</si>
  <si>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</si>
  <si>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</si>
  <si>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</si>
  <si>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</si>
  <si>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</si>
  <si>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</si>
  <si>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</si>
  <si>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</si>
  <si>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</si>
  <si>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</si>
  <si>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</si>
  <si>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</si>
  <si>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</si>
  <si>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</si>
  <si>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</si>
  <si>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</si>
  <si>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</si>
  <si>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</si>
  <si>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</si>
  <si>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</si>
  <si>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</si>
  <si>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</si>
  <si>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</si>
  <si>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</si>
  <si>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</si>
  <si>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</si>
  <si>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</si>
  <si>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</si>
  <si>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</si>
  <si>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</si>
  <si>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</si>
  <si>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</si>
  <si>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</si>
  <si>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</si>
  <si>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</si>
  <si>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</si>
  <si>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</si>
  <si>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</si>
  <si>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</si>
  <si>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</si>
  <si>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</si>
  <si>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</si>
  <si>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</si>
  <si>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</si>
  <si>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</si>
  <si>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</si>
  <si>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</si>
  <si>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</si>
  <si>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</si>
  <si>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</si>
  <si>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</si>
  <si>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</si>
  <si>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</si>
  <si>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</si>
  <si>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</si>
  <si>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</si>
  <si>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</si>
  <si>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</si>
  <si>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</si>
  <si>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</si>
  <si>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</si>
  <si>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</si>
  <si>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</si>
  <si>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</si>
  <si>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</si>
  <si>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</si>
  <si>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</si>
  <si>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</si>
  <si>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</si>
  <si>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</si>
  <si>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</si>
  <si>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</si>
  <si>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</si>
  <si>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</si>
  <si>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</si>
  <si>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</si>
  <si>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</si>
  <si>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</si>
  <si>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</si>
  <si>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</si>
  <si>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</si>
  <si>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</si>
  <si>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</si>
  <si>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</si>
  <si>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</si>
  <si>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</si>
  <si>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</si>
  <si>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</si>
  <si>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</si>
  <si>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</si>
  <si>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</si>
  <si>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</si>
  <si>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</si>
  <si>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</si>
  <si>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</si>
  <si>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</si>
  <si>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</si>
  <si>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</si>
  <si>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</si>
  <si>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</si>
  <si>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</si>
  <si>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</si>
  <si>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</si>
  <si>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</si>
  <si>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Orders</t>
  </si>
  <si>
    <t>Count of TX ID</t>
  </si>
  <si>
    <t>Sum of Quantity</t>
  </si>
  <si>
    <t>Sum of Amount</t>
  </si>
  <si>
    <t>Average of Rating C</t>
  </si>
  <si>
    <t>Average of Days to Deliver</t>
  </si>
  <si>
    <t>Values for Display</t>
  </si>
  <si>
    <t>Average Rating</t>
  </si>
  <si>
    <t>Average Days</t>
  </si>
  <si>
    <t xml:space="preserve">For Trends </t>
  </si>
  <si>
    <t>Row Labels</t>
  </si>
  <si>
    <t>Grand Total</t>
  </si>
  <si>
    <t>Column Labels</t>
  </si>
  <si>
    <t>Female</t>
  </si>
  <si>
    <t>Male</t>
  </si>
  <si>
    <t>Other</t>
  </si>
  <si>
    <t>Unknown</t>
  </si>
  <si>
    <t>For Matrix</t>
  </si>
  <si>
    <t>6 to 10</t>
  </si>
  <si>
    <t>More than 10</t>
  </si>
  <si>
    <t>Country</t>
  </si>
  <si>
    <t>Map Chart Stuff for Quantity</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</si>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</sst>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1">
    <xf numFmtId="0" fontId="0" fillId="0" borderId="0" xfId="0"/>
    <xf numFmtId="15" fontId="0" fillId="0" borderId="0" xfId="0" applyNumberFormat="1"/>
    <xf numFmtId="0" fontId="0" fillId="2" borderId="0" xfId="0" applyFill="1"/>
    <xf numFmtId="0" fontId="0" fillId="0" borderId="0" xfId="0" applyAlignment="1">
      <alignment horizontal="left"/>
    </xf>
    <xf numFmtId="0" fontId="0" fillId="0" borderId="0" xfId="0" pivotButton="1"/>
    <xf numFmtId="0" fontId="1" fillId="0" borderId="0" xfId="0" applyFont="1"/>
    <xf numFmtId="10" fontId="0" fillId="0" borderId="0" xfId="0" applyNumberFormat="1"/>
    <xf numFmtId="0" fontId="1" fillId="0" borderId="0" xfId="0" applyFont="1" applyAlignment="1">
      <alignment horizontal="center" vertical="center"/>
    </xf>
    <xf numFmtId="164" fontId="1" fillId="0" borderId="0" xfId="0" applyNumberFormat="1" applyFont="1" applyAlignment="1">
      <alignment horizontal="center" vertical="center"/>
    </xf>
    <xf numFmtId="0" fontId="1" fillId="0" borderId="0" xfId="0" applyFont="1" applyAlignment="1">
      <alignment horizontal="left" vertical="center"/>
    </xf>
    <xf numFmtId="0" fontId="0" fillId="0" borderId="0" xfId="0" applyAlignment="1">
      <alignment horizontal="left"/>
    </xf>
  </cellXfs>
  <cellStyles count="1">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[KPI_Analysis_Project.xlsx]Pivot - Business Summary!PivotTable2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Last</a:t>
            </a:r>
            <a:r>
              <a:rPr lang="en-US" baseline="0"/>
              <a:t> 13 Week Trends - Quantity &amp;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9900"/>
            </a:solidFill>
            <a:round/>
          </a:ln>
          <a:effectLst/>
        </c:spPr>
        <c:marker>
          <c:symbol val="circle"/>
          <c:size val="5"/>
          <c:spPr>
            <a:solidFill>
              <a:srgbClr val="FF9900"/>
            </a:solidFill>
            <a:ln w="9525">
              <a:solidFill>
                <a:srgbClr val="FF9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 Business Summary'!$B$11</c:f>
              <c:strCache>
                <c:ptCount val="1"/>
                <c:pt idx="0">
                  <c:v>Sum of Quantity</c:v>
                </c:pt>
              </c:strCache>
            </c:strRef>
          </c:tx>
          <c:spPr>
            <a:ln w="28575" cap="rnd">
              <a:solidFill>
                <a:srgbClr val="FF9900"/>
              </a:solidFill>
              <a:round/>
            </a:ln>
            <a:effectLst/>
          </c:spPr>
          <c:marker>
            <c:symbol val="circle"/>
            <c:size val="5"/>
            <c:spPr>
              <a:solidFill>
                <a:srgbClr val="FF9900"/>
              </a:solidFill>
              <a:ln w="9525">
                <a:solidFill>
                  <a:srgbClr val="FF9900"/>
                </a:solidFill>
              </a:ln>
              <a:effectLst/>
            </c:spPr>
          </c:marker>
          <c:cat>
            <c:strRef>
              <c:f>'Pivot - Business Summary'!$A$12:$A$25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 Business Summary'!$B$12:$B$25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8952-4BD6-A085-46FA766A8917}"/>
            </c:ext>
          </c:extLst>
        </c:ser>
        <c:dLbls>
          <c:showLegendKey val="0"/>
          <c:showVal val="0"/>
          <c:showCatName val="0"/>
          <c:showSerName val="0"/>
          <c:showPercent val="0"/>
          <c:showBubbleSize val="0"/>
        </c:dLbls>
        <c:marker val="1"/>
        <c:smooth val="0"/>
        <c:axId val="34956944"/>
        <c:axId val="34969904"/>
      </c:lineChart>
      <c:lineChart>
        <c:grouping val="standard"/>
        <c:varyColors val="0"/>
        <c:ser>
          <c:idx val="1"/>
          <c:order val="1"/>
          <c:tx>
            <c:strRef>
              <c:f>'Pivot - Business Summary'!$C$11</c:f>
              <c:strCache>
                <c:ptCount val="1"/>
                <c:pt idx="0">
                  <c:v>Sum of Amount</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strRef>
              <c:f>'Pivot - Business Summary'!$A$12:$A$25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 Business Summary'!$C$12:$C$25</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8952-4BD6-A085-46FA766A8917}"/>
            </c:ext>
          </c:extLst>
        </c:ser>
        <c:dLbls>
          <c:showLegendKey val="0"/>
          <c:showVal val="0"/>
          <c:showCatName val="0"/>
          <c:showSerName val="0"/>
          <c:showPercent val="0"/>
          <c:showBubbleSize val="0"/>
        </c:dLbls>
        <c:marker val="1"/>
        <c:smooth val="0"/>
        <c:axId val="1911502784"/>
        <c:axId val="1911501824"/>
      </c:lineChart>
      <c:catAx>
        <c:axId val="34956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9904"/>
        <c:crosses val="autoZero"/>
        <c:auto val="1"/>
        <c:lblAlgn val="ctr"/>
        <c:lblOffset val="100"/>
        <c:noMultiLvlLbl val="0"/>
      </c:catAx>
      <c:valAx>
        <c:axId val="34969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56944"/>
        <c:crosses val="autoZero"/>
        <c:crossBetween val="between"/>
      </c:valAx>
      <c:valAx>
        <c:axId val="19115018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502784"/>
        <c:crosses val="max"/>
        <c:crossBetween val="between"/>
      </c:valAx>
      <c:catAx>
        <c:axId val="1911502784"/>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501824"/>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[KPI_Analysis_Project.xlsx]Pivot - Quality Distributation!PivotTable1</c:name>
    <c:fmtId val="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t>How</a:t>
            </a:r>
            <a:r>
              <a:rPr lang="en-US" b="1" baseline="0"/>
              <a:t> many they buy?</a:t>
            </a:r>
            <a:endParaRPr lang="en-US" b="1"/>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Quality Distributation'!$B$3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 Quality Distributation'!$A$4:$A$11</c:f>
              <c:strCache>
                <c:ptCount val="7"/>
                <c:pt idx="0">
                  <c:v>1</c:v>
                </c:pt>
                <c:pt idx="1">
                  <c:v>2</c:v>
                </c:pt>
                <c:pt idx="2">
                  <c:v>3</c:v>
                </c:pt>
                <c:pt idx="3">
                  <c:v>4</c:v>
                </c:pt>
                <c:pt idx="4">
                  <c:v>5</c:v>
                </c:pt>
                <c:pt idx="5">
                  <c:v>6 to 10</c:v>
                </c:pt>
                <c:pt idx="6">
                  <c:v>More than 10</c:v>
                </c:pt>
              </c:strCache>
            </c:strRef>
          </c:cat>
          <c:val>
            <c:numRef>
              <c:f>'Pivot - Quality Distributation'!$B$4:$B$11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5DA-4AFB-8AB8-FD06956F9572}"/>
            </c:ext>
          </c:extLst>
        </c:ser>
        <c:dLbls>
          <c:dLblPos val="inEnd"/>
          <c:showLegendKey val="0"/>
          <c:showVal val="1"/>
          <c:showCatName val="0"/>
          <c:showSerName val="0"/>
          <c:showPercent val="0"/>
          <c:showBubbleSize val="0"/>
        </c:dLbls>
        <c:gapWidth val="41"/>
        <c:axId val="1353687936"/>
        <c:axId val="1353709536"/>
      </c:barChart>
      <c:catAx>
        <c:axId val="1353687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53709536"/>
        <c:crosses val="autoZero"/>
        <c:auto val="1"/>
        <c:lblAlgn val="ctr"/>
        <c:lblOffset val="100"/>
        <c:noMultiLvlLbl val="0"/>
      </c:catAx>
      <c:valAx>
        <c:axId val="1353709536"/>
        <c:scaling>
          <c:orientation val="minMax"/>
        </c:scaling>
        <c:delete val="1"/>
        <c:axPos val="l"/>
        <c:numFmt formatCode="General" sourceLinked="1"/>
        <c:majorTickMark val="none"/>
        <c:minorTickMark val="none"/>
        <c:tickLblPos val="nextTo"/>
        <c:crossAx val="135368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[KPI_Analysis_Project.xlsx]Pivot - Popular Products!PivotTable2</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a:t>
            </a:r>
            <a:r>
              <a:rPr lang="en-US" baseline="0"/>
              <a:t> Products are Popular? Breakdown by Gender </a:t>
            </a:r>
            <a:endParaRPr lang="en-US"/>
          </a:p>
        </c:rich>
      </c:tx>
      <c:layout>
        <c:manualLayout>
          <c:xMode val="edge"/>
          <c:yMode val="edge"/>
          <c:x val="0.22301946846269785"/>
          <c:y val="9.01592326606639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 Popular Products'!$B$3:$B$4</c:f>
              <c:strCache>
                <c:ptCount val="1"/>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 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 Popular Products'!$B$5:$B$25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4A0B-4046-BFE6-34E5E5BB7949}"/>
            </c:ext>
          </c:extLst>
        </c:ser>
        <c:ser>
          <c:idx val="1"/>
          <c:order val="1"/>
          <c:tx>
            <c:strRef>
              <c:f>'Pivot - Popular Products'!$C$3:$C$4</c:f>
              <c:strCache>
                <c:ptCount val="1"/>
                <c:pt idx="0">
                  <c:v>F</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 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 Popular Products'!$C$5:$C$25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1-4A0B-4046-BFE6-34E5E5BB7949}"/>
            </c:ext>
          </c:extLst>
        </c:ser>
        <c:ser>
          <c:idx val="2"/>
          <c:order val="2"/>
          <c:tx>
            <c:strRef>
              <c:f>'Pivot - Popular Products'!$D$3:$D$4</c:f>
              <c:strCache>
                <c:ptCount val="1"/>
                <c:pt idx="0">
                  <c:v>M</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 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 Popular Products'!$D$5:$D$25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2-4A0B-4046-BFE6-34E5E5BB7949}"/>
            </c:ext>
          </c:extLst>
        </c:ser>
        <c:ser>
          <c:idx val="3"/>
          <c:order val="3"/>
          <c:tx>
            <c:strRef>
              <c:f>'Pivot - Popular Products'!$E$3:$E$4</c:f>
              <c:strCache>
                <c:ptCount val="1"/>
                <c:pt idx="0">
                  <c:v>O</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 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 Popular Products'!$E$5:$E$25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3-4A0B-4046-BFE6-34E5E5BB7949}"/>
            </c:ext>
          </c:extLst>
        </c:ser>
        <c:dLbls>
          <c:showLegendKey val="0"/>
          <c:showVal val="0"/>
          <c:showCatName val="0"/>
          <c:showSerName val="0"/>
          <c:showPercent val="0"/>
          <c:showBubbleSize val="0"/>
        </c:dLbls>
        <c:gapWidth val="150"/>
        <c:overlap val="100"/>
        <c:axId val="1530619808"/>
        <c:axId val="1530638528"/>
      </c:barChart>
      <c:catAx>
        <c:axId val="1530619808"/>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638528"/>
        <c:crosses val="autoZero"/>
        <c:auto val="1"/>
        <c:lblAlgn val="ctr"/>
        <c:lblOffset val="100"/>
        <c:noMultiLvlLbl val="0"/>
      </c:catAx>
      <c:valAx>
        <c:axId val="153063852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619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[KPI_Analysis_Project.xlsx]Pivot - Popular Products!PivotTable3</c:name>
    <c:fmtId val="54"/>
  </c:pivotSource>
  <c:chart>
    <c:autoTitleDeleted val="1"/>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614476075105997"/>
          <c:y val="0.13866980169145524"/>
          <c:w val="0.82740107005855035"/>
          <c:h val="0.6387707786526684"/>
        </c:manualLayout>
      </c:layout>
      <c:doughnutChart>
        <c:varyColors val="1"/>
        <c:ser>
          <c:idx val="0"/>
          <c:order val="0"/>
          <c:tx>
            <c:strRef>
              <c:f>'Pivot - Popular Products'!$L$3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B87-4AEA-A046-C6EC56D7C7A8}"/>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B87-4AEA-A046-C6EC56D7C7A8}"/>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B87-4AEA-A046-C6EC56D7C7A8}"/>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B87-4AEA-A046-C6EC56D7C7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 Popular Products'!$K$4:$K$8</c:f>
              <c:strCache>
                <c:ptCount val="4"/>
                <c:pt idx="1">
                  <c:v>F</c:v>
                </c:pt>
                <c:pt idx="2">
                  <c:v>M</c:v>
                </c:pt>
                <c:pt idx="3">
                  <c:v>O</c:v>
                </c:pt>
              </c:strCache>
            </c:strRef>
          </c:cat>
          <c:val>
            <c:numRef>
              <c:f>'Pivot - Popular Products'!$L$4:$L$8</c:f>
              <c:numCache>
                <c:formatCode>General</c:formatCode>
                <c:ptCount val="4"/>
                <c:pt idx="0">
                  <c:v>736</c:v>
                </c:pt>
                <c:pt idx="1">
                  <c:v>6272</c:v>
                </c:pt>
                <c:pt idx="2">
                  <c:v>4672</c:v>
                </c:pt>
                <c:pt idx="3">
                  <c:v>317</c:v>
                </c:pt>
              </c:numCache>
            </c:numRef>
          </c:val>
          <c:extLst>
            <c:ext xmlns:c16="http://schemas.microsoft.com/office/drawing/2014/chart" uri="{C3380CC4-5D6E-409C-BE32-E72D297353CC}">
              <c16:uniqueId val="{00000008-CB87-4AEA-A046-C6EC56D7C7A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9.930555555555555E-2"/>
          <c:y val="0.79592483231262756"/>
          <c:w val="0.79065162527760957"/>
          <c:h val="0.169992344706911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Quantity in California State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Series1</c:v>
          </c:tx>
          <c:spPr>
            <a:solidFill>
              <a:schemeClr val="accent6"/>
            </a:solidFill>
            <a:ln>
              <a:noFill/>
            </a:ln>
            <a:effectLst/>
          </c:spPr>
          <c:invertIfNegative val="0"/>
          <c:cat>
            <c:strLit>
              <c:ptCount val="5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strLit>
          </c:cat>
          <c:val>
            <c:numLit>
              <c:formatCode>General</c:formatCode>
              <c:ptCount val="58"/>
              <c:pt idx="0">
                <c:v>579</c:v>
              </c:pt>
              <c:pt idx="1">
                <c:v>1</c:v>
              </c:pt>
              <c:pt idx="2">
                <c:v>9</c:v>
              </c:pt>
              <c:pt idx="3">
                <c:v>35</c:v>
              </c:pt>
              <c:pt idx="4">
                <c:v>12</c:v>
              </c:pt>
              <c:pt idx="5">
                <c:v>4</c:v>
              </c:pt>
              <c:pt idx="6">
                <c:v>341</c:v>
              </c:pt>
              <c:pt idx="7">
                <c:v>13</c:v>
              </c:pt>
              <c:pt idx="8">
                <c:v>31</c:v>
              </c:pt>
              <c:pt idx="9">
                <c:v>279</c:v>
              </c:pt>
              <c:pt idx="10">
                <c:v>9</c:v>
              </c:pt>
              <c:pt idx="11">
                <c:v>49</c:v>
              </c:pt>
              <c:pt idx="12">
                <c:v>59</c:v>
              </c:pt>
              <c:pt idx="13">
                <c:v>8</c:v>
              </c:pt>
              <c:pt idx="14">
                <c:v>222</c:v>
              </c:pt>
              <c:pt idx="15">
                <c:v>36</c:v>
              </c:pt>
              <c:pt idx="16">
                <c:v>30</c:v>
              </c:pt>
              <c:pt idx="17">
                <c:v>1</c:v>
              </c:pt>
              <c:pt idx="18">
                <c:v>3991</c:v>
              </c:pt>
              <c:pt idx="19">
                <c:v>45</c:v>
              </c:pt>
              <c:pt idx="20">
                <c:v>39</c:v>
              </c:pt>
              <c:pt idx="21">
                <c:v>6</c:v>
              </c:pt>
              <c:pt idx="22">
                <c:v>9</c:v>
              </c:pt>
              <c:pt idx="23">
                <c:v>60</c:v>
              </c:pt>
              <c:pt idx="24">
                <c:v>2</c:v>
              </c:pt>
              <c:pt idx="25">
                <c:v>4</c:v>
              </c:pt>
              <c:pt idx="26">
                <c:v>31</c:v>
              </c:pt>
              <c:pt idx="27">
                <c:v>88</c:v>
              </c:pt>
              <c:pt idx="28">
                <c:v>25</c:v>
              </c:pt>
              <c:pt idx="29">
                <c:v>178</c:v>
              </c:pt>
              <c:pt idx="30">
                <c:v>141</c:v>
              </c:pt>
              <c:pt idx="31">
                <c:v>6</c:v>
              </c:pt>
              <c:pt idx="32">
                <c:v>178</c:v>
              </c:pt>
              <c:pt idx="33">
                <c:v>699</c:v>
              </c:pt>
              <c:pt idx="34">
                <c:v>23</c:v>
              </c:pt>
              <c:pt idx="35">
                <c:v>356</c:v>
              </c:pt>
              <c:pt idx="36">
                <c:v>1768</c:v>
              </c:pt>
              <c:pt idx="37">
                <c:v>307</c:v>
              </c:pt>
              <c:pt idx="38">
                <c:v>117</c:v>
              </c:pt>
              <c:pt idx="39">
                <c:v>13</c:v>
              </c:pt>
              <c:pt idx="40">
                <c:v>364</c:v>
              </c:pt>
              <c:pt idx="41">
                <c:v>95</c:v>
              </c:pt>
              <c:pt idx="42">
                <c:v>737</c:v>
              </c:pt>
              <c:pt idx="43">
                <c:v>39</c:v>
              </c:pt>
              <c:pt idx="44">
                <c:v>56</c:v>
              </c:pt>
              <c:pt idx="45">
                <c:v>2</c:v>
              </c:pt>
              <c:pt idx="46">
                <c:v>8</c:v>
              </c:pt>
              <c:pt idx="47">
                <c:v>52</c:v>
              </c:pt>
              <c:pt idx="48">
                <c:v>295</c:v>
              </c:pt>
              <c:pt idx="49">
                <c:v>195</c:v>
              </c:pt>
              <c:pt idx="50">
                <c:v>20</c:v>
              </c:pt>
              <c:pt idx="51">
                <c:v>6</c:v>
              </c:pt>
              <c:pt idx="52">
                <c:v>5</c:v>
              </c:pt>
              <c:pt idx="53">
                <c:v>94</c:v>
              </c:pt>
              <c:pt idx="54">
                <c:v>28</c:v>
              </c:pt>
              <c:pt idx="55">
                <c:v>179</c:v>
              </c:pt>
              <c:pt idx="56">
                <c:v>15</c:v>
              </c:pt>
              <c:pt idx="57">
                <c:v>3</c:v>
              </c:pt>
            </c:numLit>
          </c:val>
          <c:extLst>
            <c:ext xmlns:c16="http://schemas.microsoft.com/office/drawing/2014/chart" uri="{C3380CC4-5D6E-409C-BE32-E72D297353CC}">
              <c16:uniqueId val="{00000000-09F0-4575-B509-4B832027BD2C}"/>
            </c:ext>
          </c:extLst>
        </c:ser>
        <c:dLbls>
          <c:showLegendKey val="0"/>
          <c:showVal val="0"/>
          <c:showCatName val="0"/>
          <c:showSerName val="0"/>
          <c:showPercent val="0"/>
          <c:showBubbleSize val="0"/>
        </c:dLbls>
        <c:gapWidth val="182"/>
        <c:axId val="447034591"/>
        <c:axId val="447032191"/>
      </c:barChart>
      <c:catAx>
        <c:axId val="44703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32191"/>
        <c:crosses val="autoZero"/>
        <c:auto val="1"/>
        <c:lblAlgn val="ctr"/>
        <c:lblOffset val="100"/>
        <c:noMultiLvlLbl val="0"/>
      </c:catAx>
      <c:valAx>
        <c:axId val="447032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345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[KPI_Analysis_Project.xlsx]Pivot - How long to Ship!PivotTable7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long we take to ship?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 How long to Ship'!$B$3</c:f>
              <c:strCache>
                <c:ptCount val="1"/>
                <c:pt idx="0">
                  <c:v>Total</c:v>
                </c:pt>
              </c:strCache>
            </c:strRef>
          </c:tx>
          <c:spPr>
            <a:solidFill>
              <a:schemeClr val="accent5"/>
            </a:solidFill>
            <a:ln>
              <a:noFill/>
            </a:ln>
            <a:effectLst/>
            <a:sp3d/>
          </c:spPr>
          <c:invertIfNegative val="0"/>
          <c:cat>
            <c:strRef>
              <c:f>'Pivot - How long to Ship'!$A$4:$A$19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 How long to Ship'!$B$4:$B$19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817A-4F78-8DCC-D3BC8124B498}"/>
            </c:ext>
          </c:extLst>
        </c:ser>
        <c:dLbls>
          <c:showLegendKey val="0"/>
          <c:showVal val="0"/>
          <c:showCatName val="0"/>
          <c:showSerName val="0"/>
          <c:showPercent val="0"/>
          <c:showBubbleSize val="0"/>
        </c:dLbls>
        <c:gapWidth val="150"/>
        <c:shape val="box"/>
        <c:axId val="449381647"/>
        <c:axId val="449379727"/>
        <c:axId val="233165375"/>
      </c:bar3DChart>
      <c:catAx>
        <c:axId val="449381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379727"/>
        <c:crosses val="autoZero"/>
        <c:auto val="1"/>
        <c:lblAlgn val="ctr"/>
        <c:lblOffset val="100"/>
        <c:noMultiLvlLbl val="0"/>
      </c:catAx>
      <c:valAx>
        <c:axId val="44937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381647"/>
        <c:crosses val="autoZero"/>
        <c:crossBetween val="between"/>
      </c:valAx>
      <c:serAx>
        <c:axId val="23316537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379727"/>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[KPI_Analysis_Project.xlsx]Pivot - Customer Satisfaction!PivotTable8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satisfied are our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Customer Satisfaction'!$B$3:$B$4</c:f>
              <c:strCache>
                <c:ptCount val="1"/>
                <c:pt idx="0">
                  <c:v>1</c:v>
                </c:pt>
              </c:strCache>
            </c:strRef>
          </c:tx>
          <c:spPr>
            <a:solidFill>
              <a:schemeClr val="accent1"/>
            </a:solidFill>
            <a:ln>
              <a:noFill/>
            </a:ln>
            <a:effectLst/>
          </c:spPr>
          <c:invertIfNegative val="0"/>
          <c:cat>
            <c:strRef>
              <c:f>'Pivot - Customer Satisfaction'!$A$5:$A$8</c:f>
              <c:strCache>
                <c:ptCount val="3"/>
                <c:pt idx="0">
                  <c:v>Jan</c:v>
                </c:pt>
                <c:pt idx="1">
                  <c:v>Feb</c:v>
                </c:pt>
                <c:pt idx="2">
                  <c:v>Mar</c:v>
                </c:pt>
              </c:strCache>
            </c:strRef>
          </c:cat>
          <c:val>
            <c:numRef>
              <c:f>'Pivot - Customer Satisfaction'!$B$5:$B$8</c:f>
              <c:numCache>
                <c:formatCode>General</c:formatCode>
                <c:ptCount val="3"/>
                <c:pt idx="0">
                  <c:v>7</c:v>
                </c:pt>
                <c:pt idx="1">
                  <c:v>8</c:v>
                </c:pt>
                <c:pt idx="2">
                  <c:v>6</c:v>
                </c:pt>
              </c:numCache>
            </c:numRef>
          </c:val>
          <c:extLst>
            <c:ext xmlns:c16="http://schemas.microsoft.com/office/drawing/2014/chart" uri="{C3380CC4-5D6E-409C-BE32-E72D297353CC}">
              <c16:uniqueId val="{00000000-E1AF-4484-8337-660F9CA27741}"/>
            </c:ext>
          </c:extLst>
        </c:ser>
        <c:ser>
          <c:idx val="1"/>
          <c:order val="1"/>
          <c:tx>
            <c:strRef>
              <c:f>'Pivot - Customer Satisfaction'!$C$3:$C$4</c:f>
              <c:strCache>
                <c:ptCount val="1"/>
                <c:pt idx="0">
                  <c:v>2</c:v>
                </c:pt>
              </c:strCache>
            </c:strRef>
          </c:tx>
          <c:spPr>
            <a:solidFill>
              <a:schemeClr val="accent3"/>
            </a:solidFill>
            <a:ln>
              <a:noFill/>
            </a:ln>
            <a:effectLst/>
          </c:spPr>
          <c:invertIfNegative val="0"/>
          <c:cat>
            <c:strRef>
              <c:f>'Pivot - Customer Satisfaction'!$A$5:$A$8</c:f>
              <c:strCache>
                <c:ptCount val="3"/>
                <c:pt idx="0">
                  <c:v>Jan</c:v>
                </c:pt>
                <c:pt idx="1">
                  <c:v>Feb</c:v>
                </c:pt>
                <c:pt idx="2">
                  <c:v>Mar</c:v>
                </c:pt>
              </c:strCache>
            </c:strRef>
          </c:cat>
          <c:val>
            <c:numRef>
              <c:f>'Pivot - Customer Satisfaction'!$C$5:$C$8</c:f>
              <c:numCache>
                <c:formatCode>General</c:formatCode>
                <c:ptCount val="3"/>
                <c:pt idx="0">
                  <c:v>37</c:v>
                </c:pt>
                <c:pt idx="1">
                  <c:v>51</c:v>
                </c:pt>
                <c:pt idx="2">
                  <c:v>39</c:v>
                </c:pt>
              </c:numCache>
            </c:numRef>
          </c:val>
          <c:extLst>
            <c:ext xmlns:c16="http://schemas.microsoft.com/office/drawing/2014/chart" uri="{C3380CC4-5D6E-409C-BE32-E72D297353CC}">
              <c16:uniqueId val="{00000001-E1AF-4484-8337-660F9CA27741}"/>
            </c:ext>
          </c:extLst>
        </c:ser>
        <c:ser>
          <c:idx val="2"/>
          <c:order val="2"/>
          <c:tx>
            <c:strRef>
              <c:f>'Pivot - Customer Satisfaction'!$D$3:$D$4</c:f>
              <c:strCache>
                <c:ptCount val="1"/>
                <c:pt idx="0">
                  <c:v>3</c:v>
                </c:pt>
              </c:strCache>
            </c:strRef>
          </c:tx>
          <c:spPr>
            <a:solidFill>
              <a:schemeClr val="accent5"/>
            </a:solidFill>
            <a:ln>
              <a:noFill/>
            </a:ln>
            <a:effectLst/>
          </c:spPr>
          <c:invertIfNegative val="0"/>
          <c:cat>
            <c:strRef>
              <c:f>'Pivot - Customer Satisfaction'!$A$5:$A$8</c:f>
              <c:strCache>
                <c:ptCount val="3"/>
                <c:pt idx="0">
                  <c:v>Jan</c:v>
                </c:pt>
                <c:pt idx="1">
                  <c:v>Feb</c:v>
                </c:pt>
                <c:pt idx="2">
                  <c:v>Mar</c:v>
                </c:pt>
              </c:strCache>
            </c:strRef>
          </c:cat>
          <c:val>
            <c:numRef>
              <c:f>'Pivot - Customer Satisfaction'!$D$5:$D$8</c:f>
              <c:numCache>
                <c:formatCode>General</c:formatCode>
                <c:ptCount val="3"/>
                <c:pt idx="0">
                  <c:v>150</c:v>
                </c:pt>
                <c:pt idx="1">
                  <c:v>182</c:v>
                </c:pt>
                <c:pt idx="2">
                  <c:v>163</c:v>
                </c:pt>
              </c:numCache>
            </c:numRef>
          </c:val>
          <c:extLst>
            <c:ext xmlns:c16="http://schemas.microsoft.com/office/drawing/2014/chart" uri="{C3380CC4-5D6E-409C-BE32-E72D297353CC}">
              <c16:uniqueId val="{00000002-E1AF-4484-8337-660F9CA27741}"/>
            </c:ext>
          </c:extLst>
        </c:ser>
        <c:ser>
          <c:idx val="3"/>
          <c:order val="3"/>
          <c:tx>
            <c:strRef>
              <c:f>'Pivot - Customer Satisfaction'!$E$3:$E$4</c:f>
              <c:strCache>
                <c:ptCount val="1"/>
                <c:pt idx="0">
                  <c:v>4</c:v>
                </c:pt>
              </c:strCache>
            </c:strRef>
          </c:tx>
          <c:spPr>
            <a:solidFill>
              <a:schemeClr val="accent1">
                <a:lumMod val="60000"/>
              </a:schemeClr>
            </a:solidFill>
            <a:ln>
              <a:noFill/>
            </a:ln>
            <a:effectLst/>
          </c:spPr>
          <c:invertIfNegative val="0"/>
          <c:cat>
            <c:strRef>
              <c:f>'Pivot - Customer Satisfaction'!$A$5:$A$8</c:f>
              <c:strCache>
                <c:ptCount val="3"/>
                <c:pt idx="0">
                  <c:v>Jan</c:v>
                </c:pt>
                <c:pt idx="1">
                  <c:v>Feb</c:v>
                </c:pt>
                <c:pt idx="2">
                  <c:v>Mar</c:v>
                </c:pt>
              </c:strCache>
            </c:strRef>
          </c:cat>
          <c:val>
            <c:numRef>
              <c:f>'Pivot - Customer Satisfaction'!$E$5:$E$8</c:f>
              <c:numCache>
                <c:formatCode>General</c:formatCode>
                <c:ptCount val="3"/>
                <c:pt idx="0">
                  <c:v>312</c:v>
                </c:pt>
                <c:pt idx="1">
                  <c:v>373</c:v>
                </c:pt>
                <c:pt idx="2">
                  <c:v>351</c:v>
                </c:pt>
              </c:numCache>
            </c:numRef>
          </c:val>
          <c:extLst>
            <c:ext xmlns:c16="http://schemas.microsoft.com/office/drawing/2014/chart" uri="{C3380CC4-5D6E-409C-BE32-E72D297353CC}">
              <c16:uniqueId val="{00000003-E1AF-4484-8337-660F9CA27741}"/>
            </c:ext>
          </c:extLst>
        </c:ser>
        <c:ser>
          <c:idx val="4"/>
          <c:order val="4"/>
          <c:tx>
            <c:strRef>
              <c:f>'Pivot - Customer Satisfaction'!$F$3:$F$4</c:f>
              <c:strCache>
                <c:ptCount val="1"/>
                <c:pt idx="0">
                  <c:v>5</c:v>
                </c:pt>
              </c:strCache>
            </c:strRef>
          </c:tx>
          <c:spPr>
            <a:solidFill>
              <a:schemeClr val="accent3">
                <a:lumMod val="60000"/>
              </a:schemeClr>
            </a:solidFill>
            <a:ln>
              <a:noFill/>
            </a:ln>
            <a:effectLst/>
          </c:spPr>
          <c:invertIfNegative val="0"/>
          <c:cat>
            <c:strRef>
              <c:f>'Pivot - Customer Satisfaction'!$A$5:$A$8</c:f>
              <c:strCache>
                <c:ptCount val="3"/>
                <c:pt idx="0">
                  <c:v>Jan</c:v>
                </c:pt>
                <c:pt idx="1">
                  <c:v>Feb</c:v>
                </c:pt>
                <c:pt idx="2">
                  <c:v>Mar</c:v>
                </c:pt>
              </c:strCache>
            </c:strRef>
          </c:cat>
          <c:val>
            <c:numRef>
              <c:f>'Pivot - Customer Satisfaction'!$F$5:$F$8</c:f>
              <c:numCache>
                <c:formatCode>General</c:formatCode>
                <c:ptCount val="3"/>
                <c:pt idx="0">
                  <c:v>224</c:v>
                </c:pt>
                <c:pt idx="1">
                  <c:v>247</c:v>
                </c:pt>
                <c:pt idx="2">
                  <c:v>250</c:v>
                </c:pt>
              </c:numCache>
            </c:numRef>
          </c:val>
          <c:extLst>
            <c:ext xmlns:c16="http://schemas.microsoft.com/office/drawing/2014/chart" uri="{C3380CC4-5D6E-409C-BE32-E72D297353CC}">
              <c16:uniqueId val="{00000006-E1AF-4484-8337-660F9CA27741}"/>
            </c:ext>
          </c:extLst>
        </c:ser>
        <c:dLbls>
          <c:showLegendKey val="0"/>
          <c:showVal val="0"/>
          <c:showCatName val="0"/>
          <c:showSerName val="0"/>
          <c:showPercent val="0"/>
          <c:showBubbleSize val="0"/>
        </c:dLbls>
        <c:gapWidth val="219"/>
        <c:overlap val="-27"/>
        <c:axId val="352748591"/>
        <c:axId val="352751951"/>
      </c:barChart>
      <c:catAx>
        <c:axId val="35274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751951"/>
        <c:crosses val="autoZero"/>
        <c:auto val="1"/>
        <c:lblAlgn val="ctr"/>
        <c:lblOffset val="100"/>
        <c:noMultiLvlLbl val="0"/>
      </c:catAx>
      <c:valAx>
        <c:axId val="35275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74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30480</xdr:colOff>
      <xdr:row>0</xdr:row>
      <xdr:rowOff>0</xdr:rowOff>
    </xdr:from>
    <xdr:to>
      <xdr:col>23</xdr:col>
      <xdr:colOff>533400</xdr:colOff>
      <xdr:row>34</xdr:row>
      <xdr:rowOff>38100</xdr:rowOff>
    </xdr:to>
    <xdr:sp macro="" textlink="">
      <xdr:nvSpPr>
        <xdr:cNvPr id="3" name="Rectangle 2">
          <a:extLst>
            <a:ext uri="{FF2B5EF4-FFF2-40B4-BE49-F238E27FC236}">
              <a16:creationId xmlns:a16="http://schemas.microsoft.com/office/drawing/2014/main" id="{8F19BBDF-AB23-4FFF-B491-FCA11CC6E8B3}"/>
            </a:ext>
          </a:extLst>
        </xdr:cNvPr>
        <xdr:cNvSpPr/>
      </xdr:nvSpPr>
      <xdr:spPr>
        <a:xfrm>
          <a:off x="2072640" y="0"/>
          <a:ext cx="13007340" cy="6256020"/>
        </a:xfrm>
        <a:prstGeom prst="rect">
          <a:avLst/>
        </a:prstGeom>
        <a:solidFill>
          <a:schemeClr val="accent6">
            <a:lumMod val="60000"/>
            <a:lumOff val="40000"/>
          </a:schemeClr>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xdr:colOff>
      <xdr:row>0</xdr:row>
      <xdr:rowOff>7620</xdr:rowOff>
    </xdr:from>
    <xdr:to>
      <xdr:col>2</xdr:col>
      <xdr:colOff>68580</xdr:colOff>
      <xdr:row>34</xdr:row>
      <xdr:rowOff>15240</xdr:rowOff>
    </xdr:to>
    <xdr:grpSp>
      <xdr:nvGrpSpPr>
        <xdr:cNvPr id="11" name="Group 10">
          <a:extLst>
            <a:ext uri="{FF2B5EF4-FFF2-40B4-BE49-F238E27FC236}">
              <a16:creationId xmlns:a16="http://schemas.microsoft.com/office/drawing/2014/main" id="{2851AF64-8A5D-E1EE-033A-8CE810D1AFF5}"/>
            </a:ext>
          </a:extLst>
        </xdr:cNvPr>
        <xdr:cNvGrpSpPr/>
      </xdr:nvGrpSpPr>
      <xdr:grpSpPr>
        <a:xfrm>
          <a:off x="22860" y="7620"/>
          <a:ext cx="2087880" cy="6225540"/>
          <a:chOff x="0" y="0"/>
          <a:chExt cx="2087880" cy="5387340"/>
        </a:xfrm>
      </xdr:grpSpPr>
      <xdr:sp macro="" textlink="">
        <xdr:nvSpPr>
          <xdr:cNvPr id="2" name="Rectangle 1">
            <a:extLst>
              <a:ext uri="{FF2B5EF4-FFF2-40B4-BE49-F238E27FC236}">
                <a16:creationId xmlns:a16="http://schemas.microsoft.com/office/drawing/2014/main" id="{C4068509-77E4-C235-8605-D1CAD0787A38}"/>
              </a:ext>
            </a:extLst>
          </xdr:cNvPr>
          <xdr:cNvSpPr/>
        </xdr:nvSpPr>
        <xdr:spPr>
          <a:xfrm>
            <a:off x="0" y="0"/>
            <a:ext cx="2087880" cy="5387340"/>
          </a:xfrm>
          <a:prstGeom prst="rect">
            <a:avLst/>
          </a:prstGeom>
          <a:solidFill>
            <a:schemeClr val="accent6">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 Business Summary'!G4">
        <xdr:nvSpPr>
          <xdr:cNvPr id="4" name="TextBox 3">
            <a:extLst>
              <a:ext uri="{FF2B5EF4-FFF2-40B4-BE49-F238E27FC236}">
                <a16:creationId xmlns:a16="http://schemas.microsoft.com/office/drawing/2014/main" id="{F3F3E210-6BEF-9F67-F6FA-472DF81745E8}"/>
              </a:ext>
            </a:extLst>
          </xdr:cNvPr>
          <xdr:cNvSpPr txBox="1"/>
        </xdr:nvSpPr>
        <xdr:spPr>
          <a:xfrm>
            <a:off x="190500" y="291679"/>
            <a:ext cx="1645920" cy="38862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05B6C09-8711-4AE7-8DCE-677B136FDAEF}" type="TxLink">
              <a:rPr lang="en-US" sz="1800" b="1" i="0" u="none" strike="noStrike">
                <a:gradFill>
                  <a:gsLst>
                    <a:gs pos="100000">
                      <a:schemeClr val="bg1">
                        <a:lumMod val="85000"/>
                      </a:schemeClr>
                    </a:gs>
                    <a:gs pos="82000">
                      <a:schemeClr val="bg1">
                        <a:lumMod val="7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a:latin typeface="+mj-lt"/>
                <a:ea typeface="+mn-ea"/>
                <a:cs typeface="+mn-cs"/>
              </a:rPr>
              <a:pPr marL="0" indent="0"/>
              <a:t>2,400</a:t>
            </a:fld>
            <a:endParaRPr lang="en-US" sz="1800" b="1" i="0" u="none" strike="noStrike">
              <a:gradFill>
                <a:gsLst>
                  <a:gs pos="100000">
                    <a:schemeClr val="bg1">
                      <a:lumMod val="85000"/>
                    </a:schemeClr>
                  </a:gs>
                  <a:gs pos="82000">
                    <a:schemeClr val="bg1">
                      <a:lumMod val="7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a:latin typeface="+mj-lt"/>
              <a:ea typeface="+mn-ea"/>
              <a:cs typeface="+mn-cs"/>
            </a:endParaRPr>
          </a:p>
        </xdr:txBody>
      </xdr:sp>
      <xdr:sp macro="" textlink="'Pivot - Business Summary'!H4">
        <xdr:nvSpPr>
          <xdr:cNvPr id="5" name="TextBox 4">
            <a:extLst>
              <a:ext uri="{FF2B5EF4-FFF2-40B4-BE49-F238E27FC236}">
                <a16:creationId xmlns:a16="http://schemas.microsoft.com/office/drawing/2014/main" id="{EE2C71D8-7827-471B-A72C-196FEC2811CA}"/>
              </a:ext>
            </a:extLst>
          </xdr:cNvPr>
          <xdr:cNvSpPr txBox="1"/>
        </xdr:nvSpPr>
        <xdr:spPr>
          <a:xfrm>
            <a:off x="190500" y="703590"/>
            <a:ext cx="1645920" cy="38862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3A37C1-A4CC-4CA0-9246-E11349955BFB}" type="TxLink">
              <a:rPr lang="en-US" sz="1800" b="1" i="0" u="none" strike="noStrike">
                <a:gradFill>
                  <a:gsLst>
                    <a:gs pos="100000">
                      <a:schemeClr val="bg1">
                        <a:lumMod val="85000"/>
                      </a:schemeClr>
                    </a:gs>
                    <a:gs pos="82000">
                      <a:schemeClr val="bg1">
                        <a:lumMod val="7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a:latin typeface="+mj-lt"/>
                <a:ea typeface="+mn-ea"/>
                <a:cs typeface="+mn-cs"/>
              </a:rPr>
              <a:pPr marL="0" indent="0"/>
              <a:t>11,997</a:t>
            </a:fld>
            <a:endParaRPr lang="en-US" sz="1800" b="1" i="0" u="none" strike="noStrike">
              <a:gradFill>
                <a:gsLst>
                  <a:gs pos="100000">
                    <a:schemeClr val="bg1">
                      <a:lumMod val="85000"/>
                    </a:schemeClr>
                  </a:gs>
                  <a:gs pos="82000">
                    <a:schemeClr val="bg1">
                      <a:lumMod val="7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a:latin typeface="+mj-lt"/>
              <a:ea typeface="+mn-ea"/>
              <a:cs typeface="+mn-cs"/>
            </a:endParaRPr>
          </a:p>
        </xdr:txBody>
      </xdr:sp>
      <xdr:sp macro="" textlink="'Pivot - Business Summary'!K4">
        <xdr:nvSpPr>
          <xdr:cNvPr id="6" name="TextBox 5">
            <a:extLst>
              <a:ext uri="{FF2B5EF4-FFF2-40B4-BE49-F238E27FC236}">
                <a16:creationId xmlns:a16="http://schemas.microsoft.com/office/drawing/2014/main" id="{358CC1FC-C82E-4981-9D98-38E5B858FFBB}"/>
              </a:ext>
            </a:extLst>
          </xdr:cNvPr>
          <xdr:cNvSpPr txBox="1"/>
        </xdr:nvSpPr>
        <xdr:spPr>
          <a:xfrm>
            <a:off x="190500" y="2019188"/>
            <a:ext cx="1645920" cy="38862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910523-821A-454E-874F-21127212C024}" type="TxLink">
              <a:rPr lang="en-US" sz="1800" b="1" i="0" u="none" strike="noStrike">
                <a:gradFill>
                  <a:gsLst>
                    <a:gs pos="100000">
                      <a:schemeClr val="bg1">
                        <a:lumMod val="85000"/>
                      </a:schemeClr>
                    </a:gs>
                    <a:gs pos="82000">
                      <a:schemeClr val="bg1">
                        <a:lumMod val="7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a:latin typeface="+mj-lt"/>
                <a:ea typeface="+mn-ea"/>
                <a:cs typeface="+mn-cs"/>
              </a:rPr>
              <a:pPr marL="0" indent="0"/>
              <a:t>2.3</a:t>
            </a:fld>
            <a:endParaRPr lang="en-US" sz="1800" b="1" i="0" u="none" strike="noStrike">
              <a:gradFill>
                <a:gsLst>
                  <a:gs pos="100000">
                    <a:schemeClr val="bg1">
                      <a:lumMod val="85000"/>
                    </a:schemeClr>
                  </a:gs>
                  <a:gs pos="82000">
                    <a:schemeClr val="bg1">
                      <a:lumMod val="7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a:latin typeface="+mj-lt"/>
              <a:ea typeface="+mn-ea"/>
              <a:cs typeface="+mn-cs"/>
            </a:endParaRPr>
          </a:p>
        </xdr:txBody>
      </xdr:sp>
      <xdr:sp macro="" textlink="'Pivot - Business Summary'!I4">
        <xdr:nvSpPr>
          <xdr:cNvPr id="8" name="TextBox 7">
            <a:extLst>
              <a:ext uri="{FF2B5EF4-FFF2-40B4-BE49-F238E27FC236}">
                <a16:creationId xmlns:a16="http://schemas.microsoft.com/office/drawing/2014/main" id="{17A8AA9C-E4B1-4275-9925-8FBF28FC1C5D}"/>
              </a:ext>
            </a:extLst>
          </xdr:cNvPr>
          <xdr:cNvSpPr txBox="1"/>
        </xdr:nvSpPr>
        <xdr:spPr>
          <a:xfrm>
            <a:off x="190500" y="1121190"/>
            <a:ext cx="1645920" cy="38862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82F239-44AD-4553-8E21-4B2B209D9EC3}" type="TxLink">
              <a:rPr lang="en-US" sz="1800" b="1" i="0" u="none" strike="noStrike">
                <a:gradFill>
                  <a:gsLst>
                    <a:gs pos="100000">
                      <a:schemeClr val="bg1">
                        <a:lumMod val="85000"/>
                      </a:schemeClr>
                    </a:gs>
                    <a:gs pos="82000">
                      <a:schemeClr val="bg1">
                        <a:lumMod val="7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a:latin typeface="+mj-lt"/>
                <a:ea typeface="+mn-ea"/>
                <a:cs typeface="+mn-cs"/>
              </a:rPr>
              <a:pPr marL="0" indent="0"/>
              <a:t>$649.0k</a:t>
            </a:fld>
            <a:endParaRPr lang="en-US" sz="1800" b="1" i="0" u="none" strike="noStrike">
              <a:gradFill>
                <a:gsLst>
                  <a:gs pos="100000">
                    <a:schemeClr val="bg1">
                      <a:lumMod val="85000"/>
                    </a:schemeClr>
                  </a:gs>
                  <a:gs pos="82000">
                    <a:schemeClr val="bg1">
                      <a:lumMod val="7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a:latin typeface="+mj-lt"/>
              <a:ea typeface="+mn-ea"/>
              <a:cs typeface="+mn-cs"/>
            </a:endParaRPr>
          </a:p>
        </xdr:txBody>
      </xdr:sp>
      <xdr:sp macro="" textlink="'Pivot - Business Summary'!J4">
        <xdr:nvSpPr>
          <xdr:cNvPr id="9" name="TextBox 8">
            <a:extLst>
              <a:ext uri="{FF2B5EF4-FFF2-40B4-BE49-F238E27FC236}">
                <a16:creationId xmlns:a16="http://schemas.microsoft.com/office/drawing/2014/main" id="{8CE56681-8E90-4972-913C-09310A792902}"/>
              </a:ext>
            </a:extLst>
          </xdr:cNvPr>
          <xdr:cNvSpPr txBox="1"/>
        </xdr:nvSpPr>
        <xdr:spPr>
          <a:xfrm>
            <a:off x="190500" y="1576783"/>
            <a:ext cx="1645920" cy="38862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088E4A-15DA-4339-8938-C30A5A92FAB9}" type="TxLink">
              <a:rPr lang="en-US" sz="1800" b="1" i="0" u="none" strike="noStrike">
                <a:gradFill>
                  <a:gsLst>
                    <a:gs pos="100000">
                      <a:schemeClr val="bg1">
                        <a:lumMod val="85000"/>
                      </a:schemeClr>
                    </a:gs>
                    <a:gs pos="82000">
                      <a:schemeClr val="bg1">
                        <a:lumMod val="7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a:latin typeface="+mj-lt"/>
                <a:ea typeface="+mn-ea"/>
                <a:cs typeface="+mn-cs"/>
              </a:rPr>
              <a:pPr marL="0" indent="0"/>
              <a:t>4.0</a:t>
            </a:fld>
            <a:endParaRPr lang="en-US" sz="1800" b="1" i="0" u="none" strike="noStrike">
              <a:gradFill>
                <a:gsLst>
                  <a:gs pos="100000">
                    <a:schemeClr val="bg1">
                      <a:lumMod val="85000"/>
                    </a:schemeClr>
                  </a:gs>
                  <a:gs pos="82000">
                    <a:schemeClr val="bg1">
                      <a:lumMod val="7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a:latin typeface="+mj-lt"/>
              <a:ea typeface="+mn-ea"/>
              <a:cs typeface="+mn-cs"/>
            </a:endParaRPr>
          </a:p>
        </xdr:txBody>
      </xdr:sp>
    </xdr:grpSp>
    <xdr:clientData/>
  </xdr:twoCellAnchor>
  <xdr:twoCellAnchor>
    <xdr:from>
      <xdr:col>0</xdr:col>
      <xdr:colOff>167640</xdr:colOff>
      <xdr:row>0</xdr:row>
      <xdr:rowOff>160020</xdr:rowOff>
    </xdr:from>
    <xdr:to>
      <xdr:col>1</xdr:col>
      <xdr:colOff>1310640</xdr:colOff>
      <xdr:row>2</xdr:row>
      <xdr:rowOff>30480</xdr:rowOff>
    </xdr:to>
    <xdr:sp macro="" textlink="">
      <xdr:nvSpPr>
        <xdr:cNvPr id="12" name="TextBox 11">
          <a:extLst>
            <a:ext uri="{FF2B5EF4-FFF2-40B4-BE49-F238E27FC236}">
              <a16:creationId xmlns:a16="http://schemas.microsoft.com/office/drawing/2014/main" id="{80DE9B23-D450-AD32-6BA2-3B6BACC5285A}"/>
            </a:ext>
          </a:extLst>
        </xdr:cNvPr>
        <xdr:cNvSpPr txBox="1"/>
      </xdr:nvSpPr>
      <xdr:spPr>
        <a:xfrm>
          <a:off x="167640" y="160020"/>
          <a:ext cx="1424940" cy="23622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1">
              <a:solidFill>
                <a:schemeClr val="bg1"/>
              </a:solidFill>
            </a:rPr>
            <a:t>Orders</a:t>
          </a:r>
        </a:p>
      </xdr:txBody>
    </xdr:sp>
    <xdr:clientData/>
  </xdr:twoCellAnchor>
  <xdr:twoCellAnchor>
    <xdr:from>
      <xdr:col>0</xdr:col>
      <xdr:colOff>167640</xdr:colOff>
      <xdr:row>3</xdr:row>
      <xdr:rowOff>99060</xdr:rowOff>
    </xdr:from>
    <xdr:to>
      <xdr:col>1</xdr:col>
      <xdr:colOff>1310640</xdr:colOff>
      <xdr:row>4</xdr:row>
      <xdr:rowOff>152400</xdr:rowOff>
    </xdr:to>
    <xdr:sp macro="" textlink="">
      <xdr:nvSpPr>
        <xdr:cNvPr id="14" name="TextBox 13">
          <a:extLst>
            <a:ext uri="{FF2B5EF4-FFF2-40B4-BE49-F238E27FC236}">
              <a16:creationId xmlns:a16="http://schemas.microsoft.com/office/drawing/2014/main" id="{250A61C2-699E-480B-989C-A210AAA924AB}"/>
            </a:ext>
          </a:extLst>
        </xdr:cNvPr>
        <xdr:cNvSpPr txBox="1"/>
      </xdr:nvSpPr>
      <xdr:spPr>
        <a:xfrm>
          <a:off x="167640" y="647700"/>
          <a:ext cx="1424940" cy="23622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 Quantity</a:t>
          </a:r>
        </a:p>
      </xdr:txBody>
    </xdr:sp>
    <xdr:clientData/>
  </xdr:twoCellAnchor>
  <xdr:twoCellAnchor>
    <xdr:from>
      <xdr:col>0</xdr:col>
      <xdr:colOff>167640</xdr:colOff>
      <xdr:row>6</xdr:row>
      <xdr:rowOff>30480</xdr:rowOff>
    </xdr:from>
    <xdr:to>
      <xdr:col>1</xdr:col>
      <xdr:colOff>1310640</xdr:colOff>
      <xdr:row>7</xdr:row>
      <xdr:rowOff>83820</xdr:rowOff>
    </xdr:to>
    <xdr:sp macro="" textlink="">
      <xdr:nvSpPr>
        <xdr:cNvPr id="15" name="TextBox 14">
          <a:extLst>
            <a:ext uri="{FF2B5EF4-FFF2-40B4-BE49-F238E27FC236}">
              <a16:creationId xmlns:a16="http://schemas.microsoft.com/office/drawing/2014/main" id="{5FF827DC-9506-4E87-9F15-9EEA28513A47}"/>
            </a:ext>
          </a:extLst>
        </xdr:cNvPr>
        <xdr:cNvSpPr txBox="1"/>
      </xdr:nvSpPr>
      <xdr:spPr>
        <a:xfrm>
          <a:off x="167640" y="1127760"/>
          <a:ext cx="1424940" cy="23622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 Amount</a:t>
          </a:r>
        </a:p>
      </xdr:txBody>
    </xdr:sp>
    <xdr:clientData/>
  </xdr:twoCellAnchor>
  <xdr:twoCellAnchor>
    <xdr:from>
      <xdr:col>0</xdr:col>
      <xdr:colOff>167640</xdr:colOff>
      <xdr:row>8</xdr:row>
      <xdr:rowOff>144780</xdr:rowOff>
    </xdr:from>
    <xdr:to>
      <xdr:col>1</xdr:col>
      <xdr:colOff>1310640</xdr:colOff>
      <xdr:row>10</xdr:row>
      <xdr:rowOff>15240</xdr:rowOff>
    </xdr:to>
    <xdr:sp macro="" textlink="">
      <xdr:nvSpPr>
        <xdr:cNvPr id="16" name="TextBox 15">
          <a:extLst>
            <a:ext uri="{FF2B5EF4-FFF2-40B4-BE49-F238E27FC236}">
              <a16:creationId xmlns:a16="http://schemas.microsoft.com/office/drawing/2014/main" id="{2CEF4131-3CDB-40C1-AF13-6D0EB5870D3A}"/>
            </a:ext>
          </a:extLst>
        </xdr:cNvPr>
        <xdr:cNvSpPr txBox="1"/>
      </xdr:nvSpPr>
      <xdr:spPr>
        <a:xfrm>
          <a:off x="167640" y="1607820"/>
          <a:ext cx="1424940" cy="23622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 Average</a:t>
          </a:r>
          <a:r>
            <a:rPr lang="en-US" sz="1100" b="1" baseline="0">
              <a:solidFill>
                <a:schemeClr val="bg1"/>
              </a:solidFill>
            </a:rPr>
            <a:t> Rating</a:t>
          </a:r>
          <a:endParaRPr lang="en-US" sz="1100" b="1">
            <a:solidFill>
              <a:schemeClr val="bg1"/>
            </a:solidFill>
          </a:endParaRPr>
        </a:p>
      </xdr:txBody>
    </xdr:sp>
    <xdr:clientData/>
  </xdr:twoCellAnchor>
  <xdr:twoCellAnchor>
    <xdr:from>
      <xdr:col>0</xdr:col>
      <xdr:colOff>167640</xdr:colOff>
      <xdr:row>11</xdr:row>
      <xdr:rowOff>114300</xdr:rowOff>
    </xdr:from>
    <xdr:to>
      <xdr:col>1</xdr:col>
      <xdr:colOff>1310640</xdr:colOff>
      <xdr:row>12</xdr:row>
      <xdr:rowOff>167640</xdr:rowOff>
    </xdr:to>
    <xdr:sp macro="" textlink="">
      <xdr:nvSpPr>
        <xdr:cNvPr id="17" name="TextBox 16">
          <a:extLst>
            <a:ext uri="{FF2B5EF4-FFF2-40B4-BE49-F238E27FC236}">
              <a16:creationId xmlns:a16="http://schemas.microsoft.com/office/drawing/2014/main" id="{66F8C0FD-FC10-41C4-A1B8-6374FF6085EF}"/>
            </a:ext>
          </a:extLst>
        </xdr:cNvPr>
        <xdr:cNvSpPr txBox="1"/>
      </xdr:nvSpPr>
      <xdr:spPr>
        <a:xfrm>
          <a:off x="167640" y="2125980"/>
          <a:ext cx="1424940" cy="23622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 Average</a:t>
          </a:r>
          <a:r>
            <a:rPr lang="en-US" sz="1100" b="1" baseline="0">
              <a:solidFill>
                <a:schemeClr val="bg1"/>
              </a:solidFill>
            </a:rPr>
            <a:t> Days</a:t>
          </a:r>
          <a:endParaRPr lang="en-US" sz="1100" b="1">
            <a:solidFill>
              <a:schemeClr val="bg1"/>
            </a:solidFill>
          </a:endParaRPr>
        </a:p>
      </xdr:txBody>
    </xdr:sp>
    <xdr:clientData/>
  </xdr:twoCellAnchor>
  <xdr:twoCellAnchor>
    <xdr:from>
      <xdr:col>2</xdr:col>
      <xdr:colOff>190500</xdr:colOff>
      <xdr:row>0</xdr:row>
      <xdr:rowOff>114300</xdr:rowOff>
    </xdr:from>
    <xdr:to>
      <xdr:col>9</xdr:col>
      <xdr:colOff>335280</xdr:colOff>
      <xdr:row>14</xdr:row>
      <xdr:rowOff>42334</xdr:rowOff>
    </xdr:to>
    <xdr:graphicFrame macro="">
      <xdr:nvGraphicFramePr>
        <xdr:cNvPr id="18" name="Chart 17">
          <a:extLst>
            <a:ext uri="{FF2B5EF4-FFF2-40B4-BE49-F238E27FC236}">
              <a16:creationId xmlns:a16="http://schemas.microsoft.com/office/drawing/2014/main" id="{4A816D26-D5DA-4174-86D7-B00577C8F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449580</xdr:colOff>
      <xdr:row>0</xdr:row>
      <xdr:rowOff>121920</xdr:rowOff>
    </xdr:from>
    <xdr:to>
      <xdr:col>16</xdr:col>
      <xdr:colOff>30480</xdr:colOff>
      <xdr:row>13</xdr:row>
      <xdr:rowOff>7620</xdr:rowOff>
    </xdr:to>
    <xdr:sp macro="" textlink="">
      <xdr:nvSpPr>
        <xdr:cNvPr id="10" name="Rectangle 9">
          <a:extLst>
            <a:ext uri="{FF2B5EF4-FFF2-40B4-BE49-F238E27FC236}">
              <a16:creationId xmlns:a16="http://schemas.microsoft.com/office/drawing/2014/main" id="{EC38CE15-9C6C-E827-0A0F-8B085A342E59}"/>
            </a:ext>
          </a:extLst>
        </xdr:cNvPr>
        <xdr:cNvSpPr/>
      </xdr:nvSpPr>
      <xdr:spPr>
        <a:xfrm>
          <a:off x="6461760" y="121920"/>
          <a:ext cx="3848100" cy="22631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10</xdr:col>
          <xdr:colOff>220980</xdr:colOff>
          <xdr:row>1</xdr:row>
          <xdr:rowOff>99061</xdr:rowOff>
        </xdr:from>
        <xdr:to>
          <xdr:col>15</xdr:col>
          <xdr:colOff>248827</xdr:colOff>
          <xdr:row>11</xdr:row>
          <xdr:rowOff>175261</xdr:rowOff>
        </xdr:to>
        <xdr:pic>
          <xdr:nvPicPr>
            <xdr:cNvPr id="7" name="Picture 6">
              <a:extLst>
                <a:ext uri="{FF2B5EF4-FFF2-40B4-BE49-F238E27FC236}">
                  <a16:creationId xmlns:a16="http://schemas.microsoft.com/office/drawing/2014/main" id="{8FC4FEE6-D55D-4F8B-A642-FADE9E4D5099}"/>
                </a:ext>
              </a:extLst>
            </xdr:cNvPr>
            <xdr:cNvPicPr>
              <a:picLocks noChangeAspect="1" noChangeArrowheads="1"/>
              <a:extLst>
                <a:ext uri="{84589F7E-364E-4C9E-8A38-B11213B215E9}">
                  <a14:cameraTool cellRange="'Pivot - Purchase Patterns'!$H$4:$L$9" spid="_x0000_s1045"/>
                </a:ext>
              </a:extLst>
            </xdr:cNvPicPr>
          </xdr:nvPicPr>
          <xdr:blipFill>
            <a:blip xmlns:r="http://schemas.openxmlformats.org/officeDocument/2006/relationships" r:embed="rId2"/>
            <a:srcRect/>
            <a:stretch>
              <a:fillRect/>
            </a:stretch>
          </xdr:blipFill>
          <xdr:spPr bwMode="auto">
            <a:xfrm>
              <a:off x="6842760" y="281941"/>
              <a:ext cx="3075847" cy="1905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274320</xdr:colOff>
      <xdr:row>13</xdr:row>
      <xdr:rowOff>129540</xdr:rowOff>
    </xdr:from>
    <xdr:to>
      <xdr:col>23</xdr:col>
      <xdr:colOff>38100</xdr:colOff>
      <xdr:row>24</xdr:row>
      <xdr:rowOff>76200</xdr:rowOff>
    </xdr:to>
    <xdr:graphicFrame macro="">
      <xdr:nvGraphicFramePr>
        <xdr:cNvPr id="13" name="Chart 12">
          <a:extLst>
            <a:ext uri="{FF2B5EF4-FFF2-40B4-BE49-F238E27FC236}">
              <a16:creationId xmlns:a16="http://schemas.microsoft.com/office/drawing/2014/main" id="{BC101CF2-16E5-41D5-AD35-9CCC607A0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182880</xdr:colOff>
      <xdr:row>14</xdr:row>
      <xdr:rowOff>152400</xdr:rowOff>
    </xdr:from>
    <xdr:to>
      <xdr:col>9</xdr:col>
      <xdr:colOff>342900</xdr:colOff>
      <xdr:row>33</xdr:row>
      <xdr:rowOff>12700</xdr:rowOff>
    </xdr:to>
    <xdr:graphicFrame macro="">
      <xdr:nvGraphicFramePr>
        <xdr:cNvPr id="20" name="Chart 19">
          <a:extLst>
            <a:ext uri="{FF2B5EF4-FFF2-40B4-BE49-F238E27FC236}">
              <a16:creationId xmlns:a16="http://schemas.microsoft.com/office/drawing/2014/main" id="{CFE813AF-8991-43ED-B002-51F678939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160020</xdr:colOff>
      <xdr:row>20</xdr:row>
      <xdr:rowOff>76200</xdr:rowOff>
    </xdr:from>
    <xdr:to>
      <xdr:col>9</xdr:col>
      <xdr:colOff>281940</xdr:colOff>
      <xdr:row>30</xdr:row>
      <xdr:rowOff>91440</xdr:rowOff>
    </xdr:to>
    <xdr:graphicFrame macro="">
      <xdr:nvGraphicFramePr>
        <xdr:cNvPr id="19" name="Chart 18">
          <a:extLst>
            <a:ext uri="{FF2B5EF4-FFF2-40B4-BE49-F238E27FC236}">
              <a16:creationId xmlns:a16="http://schemas.microsoft.com/office/drawing/2014/main" id="{7918B199-4301-428C-A2CD-822D88B5E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297180</xdr:colOff>
      <xdr:row>24</xdr:row>
      <xdr:rowOff>165100</xdr:rowOff>
    </xdr:from>
    <xdr:to>
      <xdr:col>23</xdr:col>
      <xdr:colOff>38100</xdr:colOff>
      <xdr:row>32</xdr:row>
      <xdr:rowOff>114300</xdr:rowOff>
    </xdr:to>
    <xdr:graphicFrame macro="">
      <xdr:nvGraphicFramePr>
        <xdr:cNvPr id="21" name="Chart 20">
          <a:extLst>
            <a:ext uri="{FF2B5EF4-FFF2-40B4-BE49-F238E27FC236}">
              <a16:creationId xmlns:a16="http://schemas.microsoft.com/office/drawing/2014/main" id="{280A5EA7-86F7-4B52-A9CE-78A6EA770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208280</xdr:colOff>
      <xdr:row>0</xdr:row>
      <xdr:rowOff>129540</xdr:rowOff>
    </xdr:from>
    <xdr:to>
      <xdr:col>23</xdr:col>
      <xdr:colOff>38100</xdr:colOff>
      <xdr:row>12</xdr:row>
      <xdr:rowOff>165100</xdr:rowOff>
    </xdr:to>
    <xdr:graphicFrame macro="">
      <xdr:nvGraphicFramePr>
        <xdr:cNvPr id="22" name="Chart 21">
          <a:extLst>
            <a:ext uri="{FF2B5EF4-FFF2-40B4-BE49-F238E27FC236}">
              <a16:creationId xmlns:a16="http://schemas.microsoft.com/office/drawing/2014/main" id="{6636FF27-C9F2-4004-9D80-74AECC355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472440</xdr:colOff>
      <xdr:row>13</xdr:row>
      <xdr:rowOff>129540</xdr:rowOff>
    </xdr:from>
    <xdr:to>
      <xdr:col>17</xdr:col>
      <xdr:colOff>167640</xdr:colOff>
      <xdr:row>32</xdr:row>
      <xdr:rowOff>139700</xdr:rowOff>
    </xdr:to>
    <xdr:graphicFrame macro="">
      <xdr:nvGraphicFramePr>
        <xdr:cNvPr id="23" name="Chart 22">
          <a:extLst>
            <a:ext uri="{FF2B5EF4-FFF2-40B4-BE49-F238E27FC236}">
              <a16:creationId xmlns:a16="http://schemas.microsoft.com/office/drawing/2014/main" id="{5B0B35AD-49AF-46E2-A801-13DAF4D22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237065</xdr:colOff>
      <xdr:row>14</xdr:row>
      <xdr:rowOff>127002</xdr:rowOff>
    </xdr:from>
    <xdr:to>
      <xdr:col>1</xdr:col>
      <xdr:colOff>1549398</xdr:colOff>
      <xdr:row>23</xdr:row>
      <xdr:rowOff>169334</xdr:rowOff>
    </xdr:to>
    <mc:AlternateContent xmlns:mc="http://schemas.openxmlformats.org/markup-compatibility/2006" xmlns:a14="http://schemas.microsoft.com/office/drawing/2010/main">
      <mc:Choice Requires="a14">
        <xdr:graphicFrame macro="">
          <xdr:nvGraphicFramePr>
            <xdr:cNvPr id="24" name="Order Mode">
              <a:extLst>
                <a:ext uri="{FF2B5EF4-FFF2-40B4-BE49-F238E27FC236}">
                  <a16:creationId xmlns:a16="http://schemas.microsoft.com/office/drawing/2014/main" id="{5ADA1940-8CE4-4E3B-8B05-E1D8AB6E8B24}"/>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37065" y="2734735"/>
              <a:ext cx="1591733" cy="1718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224367</xdr:colOff>
      <xdr:row>24</xdr:row>
      <xdr:rowOff>166794</xdr:rowOff>
    </xdr:from>
    <xdr:to>
      <xdr:col>1</xdr:col>
      <xdr:colOff>1557867</xdr:colOff>
      <xdr:row>33</xdr:row>
      <xdr:rowOff>10885</xdr:rowOff>
    </xdr:to>
    <mc:AlternateContent xmlns:mc="http://schemas.openxmlformats.org/markup-compatibility/2006" xmlns:a14="http://schemas.microsoft.com/office/drawing/2010/main">
      <mc:Choice Requires="a14">
        <xdr:graphicFrame macro="">
          <xdr:nvGraphicFramePr>
            <xdr:cNvPr id="25" name="Gender Value">
              <a:extLst>
                <a:ext uri="{FF2B5EF4-FFF2-40B4-BE49-F238E27FC236}">
                  <a16:creationId xmlns:a16="http://schemas.microsoft.com/office/drawing/2014/main" id="{89013217-FFF0-42CE-BA8E-E57646C12559}"/>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224367" y="4637194"/>
              <a:ext cx="1612900" cy="1441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tage Systems" refreshedDate="46100.993751273149" createdVersion="8" refreshedVersion="8" minRefreshableVersion="3" recordCount="2400" xr:uid="{F501121D-A61B-4EBC-84DA-467CA9F63B8D}">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811080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22ECCD-CC5A-4AD0-A80C-F804D765D2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02D0DD-4FEC-4A96-9467-73E23B55A9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9EB50B-B92B-40DC-BC80-8C5747A273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CE30ED-8754-4E27-A90A-482898CB8E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2E4F38-A5F5-4AA8-ACEA-AEC8E7A0F7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12">
    <chartFormat chart="7" format="0" series="1">
      <pivotArea type="data" outline="0" fieldPosition="0">
        <references count="2">
          <reference field="4294967294" count="1" selected="0">
            <x v="0"/>
          </reference>
          <reference field="7" count="1" selected="0">
            <x v="0"/>
          </reference>
        </references>
      </pivotArea>
    </chartFormat>
    <chartFormat chart="7" format="1" series="1">
      <pivotArea type="data" outline="0" fieldPosition="0">
        <references count="2">
          <reference field="4294967294" count="1" selected="0">
            <x v="0"/>
          </reference>
          <reference field="7" count="1" selected="0">
            <x v="1"/>
          </reference>
        </references>
      </pivotArea>
    </chartFormat>
    <chartFormat chart="7" format="2" series="1">
      <pivotArea type="data" outline="0" fieldPosition="0">
        <references count="2">
          <reference field="4294967294" count="1" selected="0">
            <x v="0"/>
          </reference>
          <reference field="7" count="1" selected="0">
            <x v="2"/>
          </reference>
        </references>
      </pivotArea>
    </chartFormat>
    <chartFormat chart="7" format="3" series="1">
      <pivotArea type="data" outline="0" fieldPosition="0">
        <references count="2">
          <reference field="4294967294" count="1" selected="0">
            <x v="0"/>
          </reference>
          <reference field="7" count="1" selected="0">
            <x v="3"/>
          </reference>
        </references>
      </pivotArea>
    </chartFormat>
    <chartFormat chart="19" format="0" series="1">
      <pivotArea type="data" outline="0" fieldPosition="0">
        <references count="2">
          <reference field="4294967294" count="1" selected="0">
            <x v="0"/>
          </reference>
          <reference field="7" count="1" selected="0">
            <x v="0"/>
          </reference>
        </references>
      </pivotArea>
    </chartFormat>
    <chartFormat chart="19" format="1" series="1">
      <pivotArea type="data" outline="0" fieldPosition="0">
        <references count="2">
          <reference field="4294967294" count="1" selected="0">
            <x v="0"/>
          </reference>
          <reference field="7" count="1" selected="0">
            <x v="1"/>
          </reference>
        </references>
      </pivotArea>
    </chartFormat>
    <chartFormat chart="19" format="2" series="1">
      <pivotArea type="data" outline="0" fieldPosition="0">
        <references count="2">
          <reference field="4294967294" count="1" selected="0">
            <x v="0"/>
          </reference>
          <reference field="7" count="1" selected="0">
            <x v="2"/>
          </reference>
        </references>
      </pivotArea>
    </chartFormat>
    <chartFormat chart="19" format="3" series="1">
      <pivotArea type="data" outline="0" fieldPosition="0">
        <references count="2">
          <reference field="4294967294" count="1" selected="0">
            <x v="0"/>
          </reference>
          <reference field="7" count="1" selected="0">
            <x v="3"/>
          </reference>
        </references>
      </pivotArea>
    </chartFormat>
    <chartFormat chart="28" format="8" series="1">
      <pivotArea type="data" outline="0" fieldPosition="0">
        <references count="2">
          <reference field="4294967294" count="1" selected="0">
            <x v="0"/>
          </reference>
          <reference field="7" count="1" selected="0">
            <x v="0"/>
          </reference>
        </references>
      </pivotArea>
    </chartFormat>
    <chartFormat chart="28" format="9" series="1">
      <pivotArea type="data" outline="0" fieldPosition="0">
        <references count="2">
          <reference field="4294967294" count="1" selected="0">
            <x v="0"/>
          </reference>
          <reference field="7" count="1" selected="0">
            <x v="1"/>
          </reference>
        </references>
      </pivotArea>
    </chartFormat>
    <chartFormat chart="28" format="10" series="1">
      <pivotArea type="data" outline="0" fieldPosition="0">
        <references count="2">
          <reference field="4294967294" count="1" selected="0">
            <x v="0"/>
          </reference>
          <reference field="7" count="1" selected="0">
            <x v="2"/>
          </reference>
        </references>
      </pivotArea>
    </chartFormat>
    <chartFormat chart="28"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B399BB-470D-4855-87B3-AA6239EB49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K3:L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Row" showAll="0" sortType="ascending">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Quantity" fld="2" baseField="0" baseItem="0"/>
  </dataFields>
  <chartFormats count="23">
    <chartFormat chart="7" format="0" series="1">
      <pivotArea type="data" outline="0" fieldPosition="0">
        <references count="2">
          <reference field="4294967294" count="1" selected="0">
            <x v="0"/>
          </reference>
          <reference field="7" count="1" selected="0">
            <x v="0"/>
          </reference>
        </references>
      </pivotArea>
    </chartFormat>
    <chartFormat chart="7" format="1" series="1">
      <pivotArea type="data" outline="0" fieldPosition="0">
        <references count="2">
          <reference field="4294967294" count="1" selected="0">
            <x v="0"/>
          </reference>
          <reference field="7" count="1" selected="0">
            <x v="1"/>
          </reference>
        </references>
      </pivotArea>
    </chartFormat>
    <chartFormat chart="7" format="2" series="1">
      <pivotArea type="data" outline="0" fieldPosition="0">
        <references count="2">
          <reference field="4294967294" count="1" selected="0">
            <x v="0"/>
          </reference>
          <reference field="7" count="1" selected="0">
            <x v="2"/>
          </reference>
        </references>
      </pivotArea>
    </chartFormat>
    <chartFormat chart="7" format="3" series="1">
      <pivotArea type="data" outline="0" fieldPosition="0">
        <references count="2">
          <reference field="4294967294" count="1" selected="0">
            <x v="0"/>
          </reference>
          <reference field="7" count="1" selected="0">
            <x v="3"/>
          </reference>
        </references>
      </pivotArea>
    </chartFormat>
    <chartFormat chart="19" format="0" series="1">
      <pivotArea type="data" outline="0" fieldPosition="0">
        <references count="2">
          <reference field="4294967294" count="1" selected="0">
            <x v="0"/>
          </reference>
          <reference field="7" count="1" selected="0">
            <x v="0"/>
          </reference>
        </references>
      </pivotArea>
    </chartFormat>
    <chartFormat chart="19" format="1" series="1">
      <pivotArea type="data" outline="0" fieldPosition="0">
        <references count="2">
          <reference field="4294967294" count="1" selected="0">
            <x v="0"/>
          </reference>
          <reference field="7" count="1" selected="0">
            <x v="1"/>
          </reference>
        </references>
      </pivotArea>
    </chartFormat>
    <chartFormat chart="19" format="2" series="1">
      <pivotArea type="data" outline="0" fieldPosition="0">
        <references count="2">
          <reference field="4294967294" count="1" selected="0">
            <x v="0"/>
          </reference>
          <reference field="7" count="1" selected="0">
            <x v="2"/>
          </reference>
        </references>
      </pivotArea>
    </chartFormat>
    <chartFormat chart="19" format="3" series="1">
      <pivotArea type="data" outline="0" fieldPosition="0">
        <references count="2">
          <reference field="4294967294" count="1" selected="0">
            <x v="0"/>
          </reference>
          <reference field="7" count="1" selected="0">
            <x v="3"/>
          </reference>
        </references>
      </pivotArea>
    </chartFormat>
    <chartFormat chart="28" format="8" series="1">
      <pivotArea type="data" outline="0" fieldPosition="0">
        <references count="2">
          <reference field="4294967294" count="1" selected="0">
            <x v="0"/>
          </reference>
          <reference field="7" count="1" selected="0">
            <x v="0"/>
          </reference>
        </references>
      </pivotArea>
    </chartFormat>
    <chartFormat chart="28" format="9" series="1">
      <pivotArea type="data" outline="0" fieldPosition="0">
        <references count="2">
          <reference field="4294967294" count="1" selected="0">
            <x v="0"/>
          </reference>
          <reference field="7" count="1" selected="0">
            <x v="1"/>
          </reference>
        </references>
      </pivotArea>
    </chartFormat>
    <chartFormat chart="28" format="10" series="1">
      <pivotArea type="data" outline="0" fieldPosition="0">
        <references count="2">
          <reference field="4294967294" count="1" selected="0">
            <x v="0"/>
          </reference>
          <reference field="7" count="1" selected="0">
            <x v="2"/>
          </reference>
        </references>
      </pivotArea>
    </chartFormat>
    <chartFormat chart="28" format="11" series="1">
      <pivotArea type="data" outline="0" fieldPosition="0">
        <references count="2">
          <reference field="4294967294" count="1" selected="0">
            <x v="0"/>
          </reference>
          <reference field="7" count="1" selected="0">
            <x v="3"/>
          </reference>
        </references>
      </pivotArea>
    </chartFormat>
    <chartFormat chart="33"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0"/>
          </reference>
        </references>
      </pivotArea>
    </chartFormat>
    <chartFormat chart="53" format="2">
      <pivotArea type="data" outline="0" fieldPosition="0">
        <references count="2">
          <reference field="4294967294" count="1" selected="0">
            <x v="0"/>
          </reference>
          <reference field="7" count="1" selected="0">
            <x v="0"/>
          </reference>
        </references>
      </pivotArea>
    </chartFormat>
    <chartFormat chart="53" format="3">
      <pivotArea type="data" outline="0" fieldPosition="0">
        <references count="2">
          <reference field="4294967294" count="1" selected="0">
            <x v="0"/>
          </reference>
          <reference field="7" count="1" selected="0">
            <x v="1"/>
          </reference>
        </references>
      </pivotArea>
    </chartFormat>
    <chartFormat chart="53" format="4">
      <pivotArea type="data" outline="0" fieldPosition="0">
        <references count="2">
          <reference field="4294967294" count="1" selected="0">
            <x v="0"/>
          </reference>
          <reference field="7" count="1" selected="0">
            <x v="2"/>
          </reference>
        </references>
      </pivotArea>
    </chartFormat>
    <chartFormat chart="53" format="5">
      <pivotArea type="data" outline="0" fieldPosition="0">
        <references count="2">
          <reference field="4294967294" count="1" selected="0">
            <x v="0"/>
          </reference>
          <reference field="7" count="1" selected="0">
            <x v="3"/>
          </reference>
        </references>
      </pivotArea>
    </chartFormat>
    <chartFormat chart="54" format="6" series="1">
      <pivotArea type="data" outline="0" fieldPosition="0">
        <references count="1">
          <reference field="4294967294" count="1" selected="0">
            <x v="0"/>
          </reference>
        </references>
      </pivotArea>
    </chartFormat>
    <chartFormat chart="54" format="7">
      <pivotArea type="data" outline="0" fieldPosition="0">
        <references count="2">
          <reference field="4294967294" count="1" selected="0">
            <x v="0"/>
          </reference>
          <reference field="7" count="1" selected="0">
            <x v="0"/>
          </reference>
        </references>
      </pivotArea>
    </chartFormat>
    <chartFormat chart="54" format="8">
      <pivotArea type="data" outline="0" fieldPosition="0">
        <references count="2">
          <reference field="4294967294" count="1" selected="0">
            <x v="0"/>
          </reference>
          <reference field="7" count="1" selected="0">
            <x v="1"/>
          </reference>
        </references>
      </pivotArea>
    </chartFormat>
    <chartFormat chart="54" format="9">
      <pivotArea type="data" outline="0" fieldPosition="0">
        <references count="2">
          <reference field="4294967294" count="1" selected="0">
            <x v="0"/>
          </reference>
          <reference field="7" count="1" selected="0">
            <x v="2"/>
          </reference>
        </references>
      </pivotArea>
    </chartFormat>
    <chartFormat chart="54"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EDACA8-CC25-45CB-9649-EA03599811D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AEAACC-D86F-4F8B-A555-5F6EEFC300A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949ABA-F0CE-45F3-A437-958F3B93E98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8">
    <chartFormat chart="18" format="6" series="1">
      <pivotArea type="data" outline="0" fieldPosition="0">
        <references count="2">
          <reference field="4294967294" count="1" selected="0">
            <x v="0"/>
          </reference>
          <reference field="17" count="1" selected="0">
            <x v="1"/>
          </reference>
        </references>
      </pivotArea>
    </chartFormat>
    <chartFormat chart="18" format="7" series="1">
      <pivotArea type="data" outline="0" fieldPosition="0">
        <references count="2">
          <reference field="4294967294" count="1" selected="0">
            <x v="0"/>
          </reference>
          <reference field="17" count="1" selected="0">
            <x v="2"/>
          </reference>
        </references>
      </pivotArea>
    </chartFormat>
    <chartFormat chart="18" format="8" series="1">
      <pivotArea type="data" outline="0" fieldPosition="0">
        <references count="2">
          <reference field="4294967294" count="1" selected="0">
            <x v="0"/>
          </reference>
          <reference field="17" count="1" selected="0">
            <x v="3"/>
          </reference>
        </references>
      </pivotArea>
    </chartFormat>
    <chartFormat chart="18" format="9" series="1">
      <pivotArea type="data" outline="0" fieldPosition="0">
        <references count="2">
          <reference field="4294967294" count="1" selected="0">
            <x v="0"/>
          </reference>
          <reference field="9" count="1" selected="0">
            <x v="3"/>
          </reference>
        </references>
      </pivotArea>
    </chartFormat>
    <chartFormat chart="18" format="10" series="1">
      <pivotArea type="data" outline="0" fieldPosition="0">
        <references count="2">
          <reference field="4294967294" count="1" selected="0">
            <x v="0"/>
          </reference>
          <reference field="9" count="1" selected="0">
            <x v="4"/>
          </reference>
        </references>
      </pivotArea>
    </chartFormat>
    <chartFormat chart="18" format="11" series="1">
      <pivotArea type="data" outline="0" fieldPosition="0">
        <references count="2">
          <reference field="4294967294" count="1" selected="0">
            <x v="0"/>
          </reference>
          <reference field="9" count="1" selected="0">
            <x v="0"/>
          </reference>
        </references>
      </pivotArea>
    </chartFormat>
    <chartFormat chart="18" format="12" series="1">
      <pivotArea type="data" outline="0" fieldPosition="0">
        <references count="2">
          <reference field="4294967294" count="1" selected="0">
            <x v="0"/>
          </reference>
          <reference field="9" count="1" selected="0">
            <x v="1"/>
          </reference>
        </references>
      </pivotArea>
    </chartFormat>
    <chartFormat chart="18" format="13"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7705E706-C912-4716-B5A2-2BBFB7EAEC69}" sourceName="Order Mode">
  <pivotTables>
    <pivotTable tabId="12" name="PivotTable8"/>
    <pivotTable tabId="5" name="PivotTable1"/>
    <pivotTable tabId="5" name="PivotTable2"/>
    <pivotTable tabId="11" name="PivotTable7"/>
    <pivotTable tabId="9" name="PivotTable2"/>
    <pivotTable tabId="9" name="PivotTable3"/>
    <pivotTable tabId="8" name="PivotTable1"/>
    <pivotTable tabId="10" name="PivotTable1"/>
  </pivotTables>
  <data>
    <tabular pivotCacheId="81108029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B893EB8E-23E4-45B5-9AD6-77BF9A6E3802}" sourceName="Gender Value">
  <pivotTables>
    <pivotTable tabId="12" name="PivotTable8"/>
    <pivotTable tabId="5" name="PivotTable1"/>
    <pivotTable tabId="5" name="PivotTable2"/>
    <pivotTable tabId="11" name="PivotTable7"/>
    <pivotTable tabId="8" name="PivotTable1"/>
    <pivotTable tabId="10" name="PivotTable1"/>
  </pivotTables>
  <data>
    <tabular pivotCacheId="81108029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BF8C1CF9-CEBA-47B4-94BB-6A64733718FF}" cache="Slicer_Order_Mode" caption="Order Mode" startItem="1" style="SlicerStyleDark5" rowHeight="247650"/>
  <slicer name="Gender Value" xr10:uid="{2160E3A6-4561-461A-B45C-55F4D523D284}" cache="Slicer_Gender_Value" caption="Gender Value"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sheetPr codeName="Sheet3"/>
  <dimension ref="A1:O2401"/>
  <sheetViews>
    <sheetView topLeftCell="A20" workbookViewId="0">
      <selection activeCell="H10" sqref="H10"/>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41453-65F4-44D3-9CE9-F2F965D29152}">
  <sheetPr codeName="Sheet2"/>
  <dimension ref="H4:J9"/>
  <sheetViews>
    <sheetView topLeftCell="A4" zoomScaleNormal="100" workbookViewId="0">
      <selection activeCell="Z37" sqref="Z37"/>
    </sheetView>
  </sheetViews>
  <sheetFormatPr defaultRowHeight="14.4" x14ac:dyDescent="0.3"/>
  <cols>
    <col min="1" max="1" width="4.109375" customWidth="1"/>
    <col min="2" max="2" width="25.6640625" customWidth="1"/>
    <col min="3" max="3" width="4.5546875" customWidth="1"/>
  </cols>
  <sheetData>
    <row r="4" spans="8:10" x14ac:dyDescent="0.3">
      <c r="H4" s="7"/>
      <c r="I4" s="7">
        <f>B4</f>
        <v>0</v>
      </c>
      <c r="J4" s="7">
        <f>C4</f>
        <v>0</v>
      </c>
    </row>
    <row r="5" spans="8:10" x14ac:dyDescent="0.3">
      <c r="H5" s="9">
        <f>A5</f>
        <v>0</v>
      </c>
      <c r="I5" s="8">
        <f t="shared" ref="I5:J9" si="0">B5</f>
        <v>0</v>
      </c>
      <c r="J5" s="8">
        <f t="shared" si="0"/>
        <v>0</v>
      </c>
    </row>
    <row r="6" spans="8:10" x14ac:dyDescent="0.3">
      <c r="H6" s="9">
        <f>A6</f>
        <v>0</v>
      </c>
      <c r="I6" s="8">
        <f t="shared" si="0"/>
        <v>0</v>
      </c>
      <c r="J6" s="8">
        <f t="shared" si="0"/>
        <v>0</v>
      </c>
    </row>
    <row r="7" spans="8:10" x14ac:dyDescent="0.3">
      <c r="H7" s="9">
        <f>A7</f>
        <v>0</v>
      </c>
      <c r="I7" s="8">
        <f t="shared" si="0"/>
        <v>0</v>
      </c>
      <c r="J7" s="8">
        <f t="shared" si="0"/>
        <v>0</v>
      </c>
    </row>
    <row r="8" spans="8:10" x14ac:dyDescent="0.3">
      <c r="H8" s="9">
        <f>A8</f>
        <v>0</v>
      </c>
      <c r="I8" s="8">
        <f t="shared" si="0"/>
        <v>0</v>
      </c>
      <c r="J8" s="8">
        <f t="shared" si="0"/>
        <v>0</v>
      </c>
    </row>
    <row r="9" spans="8:10" x14ac:dyDescent="0.3">
      <c r="H9" s="9">
        <f>A9</f>
        <v>0</v>
      </c>
      <c r="I9" s="8">
        <f t="shared" si="0"/>
        <v>0</v>
      </c>
      <c r="J9" s="8">
        <f t="shared" si="0"/>
        <v>0</v>
      </c>
    </row>
  </sheetData>
  <conditionalFormatting sqref="I5:J9">
    <cfRule type="colorScale" priority="7">
      <colorScale>
        <cfvo type="min"/>
        <cfvo type="percentile" val="50"/>
        <cfvo type="max"/>
        <color rgb="FFF8696B"/>
        <color rgb="FFFCFCFF"/>
        <color rgb="FF5A8AC6"/>
      </colorScale>
    </cfRule>
  </conditionalFormatting>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2C235-D1C0-41DC-A488-F9098526094A}">
  <sheetPr codeName="Sheet1"/>
  <dimension ref="A2:K25"/>
  <sheetViews>
    <sheetView workbookViewId="0">
      <selection activeCell="C11" sqref="C11"/>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 min="9" max="9" width="11" bestFit="1" customWidth="1"/>
    <col min="10" max="10" width="12.77734375" bestFit="1" customWidth="1"/>
    <col min="11" max="11" width="11.6640625" bestFit="1" customWidth="1"/>
  </cols>
  <sheetData>
    <row r="2" spans="1:11" x14ac:dyDescent="0.3">
      <c r="G2" s="10" t="s">
        <v>2509</v>
      </c>
      <c r="H2" s="10"/>
    </row>
    <row r="3" spans="1:11" x14ac:dyDescent="0.3">
      <c r="A3" t="s">
        <v>2504</v>
      </c>
      <c r="B3" t="s">
        <v>2505</v>
      </c>
      <c r="C3" t="s">
        <v>2506</v>
      </c>
      <c r="D3" t="s">
        <v>2507</v>
      </c>
      <c r="E3" t="s">
        <v>2508</v>
      </c>
      <c r="G3" t="s">
        <v>2503</v>
      </c>
      <c r="H3" t="s">
        <v>2</v>
      </c>
      <c r="I3" t="s">
        <v>4</v>
      </c>
      <c r="J3" t="s">
        <v>2510</v>
      </c>
      <c r="K3" t="s">
        <v>2511</v>
      </c>
    </row>
    <row r="4" spans="1:11" x14ac:dyDescent="0.3">
      <c r="A4">
        <v>2400</v>
      </c>
      <c r="B4">
        <v>11997</v>
      </c>
      <c r="C4">
        <v>649019.80000000144</v>
      </c>
      <c r="D4">
        <v>3.9620833333333332</v>
      </c>
      <c r="E4">
        <v>2.3424999999999998</v>
      </c>
      <c r="G4" t="str">
        <f>TEXT(A4,"#,##")</f>
        <v>2,400</v>
      </c>
      <c r="H4" t="str">
        <f>TEXT(B4,"#,##")</f>
        <v>11,997</v>
      </c>
      <c r="I4" t="str">
        <f>TEXT(C4,"$#,##,.0k")</f>
        <v>$649.0k</v>
      </c>
      <c r="J4" t="str">
        <f>TEXT(D4,"0.0")</f>
        <v>4.0</v>
      </c>
      <c r="K4" t="str">
        <f>TEXT(E4,"0.0")</f>
        <v>2.3</v>
      </c>
    </row>
    <row r="9" spans="1:11" x14ac:dyDescent="0.3">
      <c r="A9" s="5" t="s">
        <v>2512</v>
      </c>
    </row>
    <row r="11" spans="1:11" x14ac:dyDescent="0.3">
      <c r="A11" s="4" t="s">
        <v>2513</v>
      </c>
      <c r="B11" t="s">
        <v>2505</v>
      </c>
      <c r="C11" t="s">
        <v>2506</v>
      </c>
    </row>
    <row r="12" spans="1:11" x14ac:dyDescent="0.3">
      <c r="A12" s="3">
        <v>1</v>
      </c>
      <c r="B12">
        <v>546</v>
      </c>
      <c r="C12">
        <v>32413.300000000003</v>
      </c>
    </row>
    <row r="13" spans="1:11" x14ac:dyDescent="0.3">
      <c r="A13" s="3">
        <v>2</v>
      </c>
      <c r="B13">
        <v>905</v>
      </c>
      <c r="C13">
        <v>49562.999999999993</v>
      </c>
    </row>
    <row r="14" spans="1:11" x14ac:dyDescent="0.3">
      <c r="A14" s="3">
        <v>3</v>
      </c>
      <c r="B14">
        <v>796</v>
      </c>
      <c r="C14">
        <v>41700.400000000016</v>
      </c>
    </row>
    <row r="15" spans="1:11" x14ac:dyDescent="0.3">
      <c r="A15" s="3">
        <v>4</v>
      </c>
      <c r="B15">
        <v>913</v>
      </c>
      <c r="C15">
        <v>46782.599999999984</v>
      </c>
    </row>
    <row r="16" spans="1:11" x14ac:dyDescent="0.3">
      <c r="A16" s="3">
        <v>5</v>
      </c>
      <c r="B16">
        <v>844</v>
      </c>
      <c r="C16">
        <v>42676.100000000006</v>
      </c>
    </row>
    <row r="17" spans="1:3" x14ac:dyDescent="0.3">
      <c r="A17" s="3">
        <v>6</v>
      </c>
      <c r="B17">
        <v>1202</v>
      </c>
      <c r="C17">
        <v>62910.7</v>
      </c>
    </row>
    <row r="18" spans="1:3" x14ac:dyDescent="0.3">
      <c r="A18" s="3">
        <v>7</v>
      </c>
      <c r="B18">
        <v>935</v>
      </c>
      <c r="C18">
        <v>50332.200000000004</v>
      </c>
    </row>
    <row r="19" spans="1:3" x14ac:dyDescent="0.3">
      <c r="A19" s="3">
        <v>8</v>
      </c>
      <c r="B19">
        <v>1128</v>
      </c>
      <c r="C19">
        <v>58760.599999999977</v>
      </c>
    </row>
    <row r="20" spans="1:3" x14ac:dyDescent="0.3">
      <c r="A20" s="3">
        <v>9</v>
      </c>
      <c r="B20">
        <v>1007</v>
      </c>
      <c r="C20">
        <v>52017.299999999996</v>
      </c>
    </row>
    <row r="21" spans="1:3" x14ac:dyDescent="0.3">
      <c r="A21" s="3">
        <v>10</v>
      </c>
      <c r="B21">
        <v>1128</v>
      </c>
      <c r="C21">
        <v>64915.700000000033</v>
      </c>
    </row>
    <row r="22" spans="1:3" x14ac:dyDescent="0.3">
      <c r="A22" s="3">
        <v>11</v>
      </c>
      <c r="B22">
        <v>861</v>
      </c>
      <c r="C22">
        <v>45943.80000000001</v>
      </c>
    </row>
    <row r="23" spans="1:3" x14ac:dyDescent="0.3">
      <c r="A23" s="3">
        <v>12</v>
      </c>
      <c r="B23">
        <v>944</v>
      </c>
      <c r="C23">
        <v>55077.900000000031</v>
      </c>
    </row>
    <row r="24" spans="1:3" x14ac:dyDescent="0.3">
      <c r="A24" s="3">
        <v>13</v>
      </c>
      <c r="B24">
        <v>788</v>
      </c>
      <c r="C24">
        <v>45926.19999999999</v>
      </c>
    </row>
    <row r="25" spans="1:3" x14ac:dyDescent="0.3">
      <c r="A25" s="3" t="s">
        <v>2514</v>
      </c>
      <c r="B25">
        <v>11997</v>
      </c>
      <c r="C25">
        <v>649019.79999999993</v>
      </c>
    </row>
  </sheetData>
  <mergeCells count="1">
    <mergeCell ref="G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09E7E-638E-4D06-8021-D8BBCB57C3AA}">
  <dimension ref="A2:L10"/>
  <sheetViews>
    <sheetView showGridLines="0" workbookViewId="0">
      <selection activeCell="B6" sqref="B6"/>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12" width="10.77734375" customWidth="1"/>
  </cols>
  <sheetData>
    <row r="2" spans="1:12" x14ac:dyDescent="0.3">
      <c r="H2" t="s">
        <v>2520</v>
      </c>
    </row>
    <row r="3" spans="1:12" x14ac:dyDescent="0.3">
      <c r="A3" s="4" t="s">
        <v>2506</v>
      </c>
      <c r="B3" s="4" t="s">
        <v>2515</v>
      </c>
    </row>
    <row r="4" spans="1:12" ht="30" customHeight="1" x14ac:dyDescent="0.3">
      <c r="A4" s="4" t="s">
        <v>2513</v>
      </c>
      <c r="B4" t="s">
        <v>2516</v>
      </c>
      <c r="C4" t="s">
        <v>2517</v>
      </c>
      <c r="D4" t="s">
        <v>2518</v>
      </c>
      <c r="E4" t="s">
        <v>2519</v>
      </c>
      <c r="F4" t="s">
        <v>2514</v>
      </c>
      <c r="H4" s="7"/>
      <c r="I4" s="7" t="str">
        <f>B4</f>
        <v>Female</v>
      </c>
      <c r="J4" s="7" t="str">
        <f>C4</f>
        <v>Male</v>
      </c>
      <c r="K4" s="7" t="str">
        <f>D4</f>
        <v>Other</v>
      </c>
      <c r="L4" s="7" t="str">
        <f>E4</f>
        <v>Unknown</v>
      </c>
    </row>
    <row r="5" spans="1:12" ht="30" customHeight="1" x14ac:dyDescent="0.3">
      <c r="A5" s="3" t="s">
        <v>18</v>
      </c>
      <c r="B5" s="6">
        <v>0.18961825201634841</v>
      </c>
      <c r="C5" s="6">
        <v>0.12262322351336576</v>
      </c>
      <c r="D5" s="6">
        <v>1.060537752469185E-2</v>
      </c>
      <c r="E5" s="6">
        <v>3.0599220547662797E-2</v>
      </c>
      <c r="F5" s="6">
        <v>0.35344607360206881</v>
      </c>
      <c r="H5" s="9" t="str">
        <f>A5</f>
        <v>App</v>
      </c>
      <c r="I5" s="8">
        <f t="shared" ref="I5:L9" si="0">B5</f>
        <v>0.18961825201634841</v>
      </c>
      <c r="J5" s="8">
        <f t="shared" si="0"/>
        <v>0.12262322351336576</v>
      </c>
      <c r="K5" s="8">
        <f t="shared" si="0"/>
        <v>1.060537752469185E-2</v>
      </c>
      <c r="L5" s="8">
        <f t="shared" si="0"/>
        <v>3.0599220547662797E-2</v>
      </c>
    </row>
    <row r="6" spans="1:12" ht="30" customHeight="1" x14ac:dyDescent="0.3">
      <c r="A6" s="3" t="s">
        <v>51</v>
      </c>
      <c r="B6" s="6">
        <v>5.0283982091147303E-2</v>
      </c>
      <c r="C6" s="6">
        <v>4.3060781812819873E-2</v>
      </c>
      <c r="D6" s="6">
        <v>1.5320025675641944E-3</v>
      </c>
      <c r="E6" s="6">
        <v>1.7794988689097006E-2</v>
      </c>
      <c r="F6" s="6">
        <v>0.11267175516062837</v>
      </c>
      <c r="H6" s="9" t="str">
        <f>A6</f>
        <v>Instagram</v>
      </c>
      <c r="I6" s="8">
        <f t="shared" si="0"/>
        <v>5.0283982091147303E-2</v>
      </c>
      <c r="J6" s="8">
        <f t="shared" si="0"/>
        <v>4.3060781812819873E-2</v>
      </c>
      <c r="K6" s="8">
        <f t="shared" si="0"/>
        <v>1.5320025675641944E-3</v>
      </c>
      <c r="L6" s="8">
        <f t="shared" si="0"/>
        <v>1.7794988689097006E-2</v>
      </c>
    </row>
    <row r="7" spans="1:12" ht="30" customHeight="1" x14ac:dyDescent="0.3">
      <c r="A7" s="3" t="s">
        <v>70</v>
      </c>
      <c r="B7" s="6">
        <v>6.3496059750411282E-2</v>
      </c>
      <c r="C7" s="6">
        <v>4.6071629863988765E-2</v>
      </c>
      <c r="D7" s="6">
        <v>2.306247051322625E-3</v>
      </c>
      <c r="E7" s="6">
        <v>3.8927934093844286E-3</v>
      </c>
      <c r="F7" s="6">
        <v>0.11576673007510711</v>
      </c>
      <c r="H7" s="9" t="str">
        <f>A7</f>
        <v>Partner App</v>
      </c>
      <c r="I7" s="8">
        <f t="shared" si="0"/>
        <v>6.3496059750411282E-2</v>
      </c>
      <c r="J7" s="8">
        <f t="shared" si="0"/>
        <v>4.6071629863988765E-2</v>
      </c>
      <c r="K7" s="8">
        <f t="shared" si="0"/>
        <v>2.306247051322625E-3</v>
      </c>
      <c r="L7" s="8">
        <f t="shared" si="0"/>
        <v>3.8927934093844286E-3</v>
      </c>
    </row>
    <row r="8" spans="1:12" ht="30" customHeight="1" x14ac:dyDescent="0.3">
      <c r="A8" s="3" t="s">
        <v>40</v>
      </c>
      <c r="B8" s="6">
        <v>9.6337892927149532E-2</v>
      </c>
      <c r="C8" s="6">
        <v>6.7920115842382611E-2</v>
      </c>
      <c r="D8" s="6">
        <v>5.4979832664581261E-3</v>
      </c>
      <c r="E8" s="6">
        <v>1.2933041488102518E-2</v>
      </c>
      <c r="F8" s="6">
        <v>0.1826890335240928</v>
      </c>
      <c r="H8" s="9" t="str">
        <f>A8</f>
        <v>Target.com</v>
      </c>
      <c r="I8" s="8">
        <f t="shared" si="0"/>
        <v>9.6337892927149532E-2</v>
      </c>
      <c r="J8" s="8">
        <f t="shared" si="0"/>
        <v>6.7920115842382611E-2</v>
      </c>
      <c r="K8" s="8">
        <f t="shared" si="0"/>
        <v>5.4979832664581261E-3</v>
      </c>
      <c r="L8" s="8">
        <f t="shared" si="0"/>
        <v>1.2933041488102518E-2</v>
      </c>
    </row>
    <row r="9" spans="1:12" ht="30" customHeight="1" x14ac:dyDescent="0.3">
      <c r="A9" s="3" t="s">
        <v>35</v>
      </c>
      <c r="B9" s="6">
        <v>0.12522098709469262</v>
      </c>
      <c r="C9" s="6">
        <v>9.1492740283116228E-2</v>
      </c>
      <c r="D9" s="6">
        <v>6.3042760790965081E-3</v>
      </c>
      <c r="E9" s="6">
        <v>1.2408404181197551E-2</v>
      </c>
      <c r="F9" s="6">
        <v>0.23542640763810288</v>
      </c>
      <c r="H9" s="9" t="str">
        <f>A9</f>
        <v>Website</v>
      </c>
      <c r="I9" s="8">
        <f t="shared" si="0"/>
        <v>0.12522098709469262</v>
      </c>
      <c r="J9" s="8">
        <f t="shared" si="0"/>
        <v>9.1492740283116228E-2</v>
      </c>
      <c r="K9" s="8">
        <f t="shared" si="0"/>
        <v>6.3042760790965081E-3</v>
      </c>
      <c r="L9" s="8">
        <f t="shared" si="0"/>
        <v>1.2408404181197551E-2</v>
      </c>
    </row>
    <row r="10" spans="1:12" x14ac:dyDescent="0.3">
      <c r="A10" s="3" t="s">
        <v>2514</v>
      </c>
      <c r="B10" s="6">
        <v>0.52495717387974916</v>
      </c>
      <c r="C10" s="6">
        <v>0.3711684913156732</v>
      </c>
      <c r="D10" s="6">
        <v>2.6245886489133303E-2</v>
      </c>
      <c r="E10" s="6">
        <v>7.7628448315444312E-2</v>
      </c>
      <c r="F10" s="6">
        <v>1</v>
      </c>
    </row>
  </sheetData>
  <conditionalFormatting sqref="I5:L9">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477EA-F273-48ED-81C2-C2B6A0D908DF}">
  <dimension ref="A3:B11"/>
  <sheetViews>
    <sheetView workbookViewId="0">
      <selection activeCell="A3" sqref="A3"/>
    </sheetView>
  </sheetViews>
  <sheetFormatPr defaultRowHeight="14.4" x14ac:dyDescent="0.3"/>
  <cols>
    <col min="1" max="1" width="12.44140625" bestFit="1" customWidth="1"/>
    <col min="2" max="2" width="12.21875" bestFit="1" customWidth="1"/>
  </cols>
  <sheetData>
    <row r="3" spans="1:2" x14ac:dyDescent="0.3">
      <c r="A3" s="4" t="s">
        <v>2513</v>
      </c>
      <c r="B3" t="s">
        <v>2504</v>
      </c>
    </row>
    <row r="4" spans="1:2" x14ac:dyDescent="0.3">
      <c r="A4" s="3">
        <v>1</v>
      </c>
      <c r="B4">
        <v>397</v>
      </c>
    </row>
    <row r="5" spans="1:2" x14ac:dyDescent="0.3">
      <c r="A5" s="3">
        <v>2</v>
      </c>
      <c r="B5">
        <v>540</v>
      </c>
    </row>
    <row r="6" spans="1:2" x14ac:dyDescent="0.3">
      <c r="A6" s="3">
        <v>3</v>
      </c>
      <c r="B6">
        <v>375</v>
      </c>
    </row>
    <row r="7" spans="1:2" x14ac:dyDescent="0.3">
      <c r="A7" s="3">
        <v>4</v>
      </c>
      <c r="B7">
        <v>246</v>
      </c>
    </row>
    <row r="8" spans="1:2" x14ac:dyDescent="0.3">
      <c r="A8" s="3">
        <v>5</v>
      </c>
      <c r="B8">
        <v>195</v>
      </c>
    </row>
    <row r="9" spans="1:2" x14ac:dyDescent="0.3">
      <c r="A9" s="3" t="s">
        <v>2521</v>
      </c>
      <c r="B9">
        <v>414</v>
      </c>
    </row>
    <row r="10" spans="1:2" x14ac:dyDescent="0.3">
      <c r="A10" s="3" t="s">
        <v>2522</v>
      </c>
      <c r="B10">
        <v>233</v>
      </c>
    </row>
    <row r="11" spans="1:2" x14ac:dyDescent="0.3">
      <c r="A11" s="3" t="s">
        <v>2514</v>
      </c>
      <c r="B11">
        <v>2400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BE5C5-D6A5-424A-B19F-82E0DA366109}">
  <dimension ref="A3:L25"/>
  <sheetViews>
    <sheetView workbookViewId="0">
      <selection activeCell="I10" sqref="I10"/>
    </sheetView>
  </sheetViews>
  <sheetFormatPr defaultRowHeight="14.4" x14ac:dyDescent="0.3"/>
  <cols>
    <col min="1" max="1" width="19.109375" bestFit="1" customWidth="1"/>
    <col min="2" max="2" width="15.5546875" bestFit="1" customWidth="1"/>
    <col min="3" max="4" width="5" bestFit="1" customWidth="1"/>
    <col min="5" max="5" width="4" bestFit="1" customWidth="1"/>
    <col min="6" max="6" width="10.5546875" bestFit="1" customWidth="1"/>
    <col min="11" max="11" width="12.44140625" bestFit="1" customWidth="1"/>
    <col min="12" max="12" width="14.21875" bestFit="1" customWidth="1"/>
    <col min="13" max="14" width="5" bestFit="1" customWidth="1"/>
    <col min="15" max="15" width="4" bestFit="1" customWidth="1"/>
    <col min="16" max="16" width="10.5546875" bestFit="1" customWidth="1"/>
  </cols>
  <sheetData>
    <row r="3" spans="1:12" x14ac:dyDescent="0.3">
      <c r="A3" s="4" t="s">
        <v>2505</v>
      </c>
      <c r="B3" s="4" t="s">
        <v>2515</v>
      </c>
      <c r="K3" s="4" t="s">
        <v>2513</v>
      </c>
      <c r="L3" t="s">
        <v>2505</v>
      </c>
    </row>
    <row r="4" spans="1:12" x14ac:dyDescent="0.3">
      <c r="A4" s="4" t="s">
        <v>2513</v>
      </c>
      <c r="C4" t="s">
        <v>27</v>
      </c>
      <c r="D4" t="s">
        <v>23</v>
      </c>
      <c r="E4" t="s">
        <v>89</v>
      </c>
      <c r="F4" t="s">
        <v>2514</v>
      </c>
      <c r="K4" s="3"/>
      <c r="L4">
        <v>736</v>
      </c>
    </row>
    <row r="5" spans="1:12" x14ac:dyDescent="0.3">
      <c r="A5" s="3" t="s">
        <v>44</v>
      </c>
      <c r="B5">
        <v>98</v>
      </c>
      <c r="C5">
        <v>744</v>
      </c>
      <c r="D5">
        <v>713</v>
      </c>
      <c r="E5">
        <v>90</v>
      </c>
      <c r="F5">
        <v>1645</v>
      </c>
      <c r="K5" s="3" t="s">
        <v>27</v>
      </c>
      <c r="L5">
        <v>6272</v>
      </c>
    </row>
    <row r="6" spans="1:12" x14ac:dyDescent="0.3">
      <c r="A6" s="3" t="s">
        <v>39</v>
      </c>
      <c r="B6">
        <v>214</v>
      </c>
      <c r="C6">
        <v>716</v>
      </c>
      <c r="D6">
        <v>598</v>
      </c>
      <c r="E6">
        <v>18</v>
      </c>
      <c r="F6">
        <v>1546</v>
      </c>
      <c r="K6" s="3" t="s">
        <v>23</v>
      </c>
      <c r="L6">
        <v>4672</v>
      </c>
    </row>
    <row r="7" spans="1:12" x14ac:dyDescent="0.3">
      <c r="A7" s="3" t="s">
        <v>26</v>
      </c>
      <c r="B7">
        <v>137</v>
      </c>
      <c r="C7">
        <v>627</v>
      </c>
      <c r="D7">
        <v>393</v>
      </c>
      <c r="E7">
        <v>29</v>
      </c>
      <c r="F7">
        <v>1186</v>
      </c>
      <c r="K7" s="3" t="s">
        <v>89</v>
      </c>
      <c r="L7">
        <v>317</v>
      </c>
    </row>
    <row r="8" spans="1:12" x14ac:dyDescent="0.3">
      <c r="A8" s="3" t="s">
        <v>22</v>
      </c>
      <c r="B8">
        <v>16</v>
      </c>
      <c r="C8">
        <v>568</v>
      </c>
      <c r="D8">
        <v>306</v>
      </c>
      <c r="E8">
        <v>22</v>
      </c>
      <c r="F8">
        <v>912</v>
      </c>
      <c r="K8" s="3" t="s">
        <v>2514</v>
      </c>
      <c r="L8">
        <v>11997</v>
      </c>
    </row>
    <row r="9" spans="1:12" x14ac:dyDescent="0.3">
      <c r="A9" s="3" t="s">
        <v>54</v>
      </c>
      <c r="B9">
        <v>22</v>
      </c>
      <c r="C9">
        <v>482</v>
      </c>
      <c r="D9">
        <v>295</v>
      </c>
      <c r="E9">
        <v>8</v>
      </c>
      <c r="F9">
        <v>807</v>
      </c>
    </row>
    <row r="10" spans="1:12" x14ac:dyDescent="0.3">
      <c r="A10" s="3" t="s">
        <v>16</v>
      </c>
      <c r="B10">
        <v>24</v>
      </c>
      <c r="C10">
        <v>428</v>
      </c>
      <c r="D10">
        <v>293</v>
      </c>
      <c r="F10">
        <v>745</v>
      </c>
    </row>
    <row r="11" spans="1:12" x14ac:dyDescent="0.3">
      <c r="A11" s="3" t="s">
        <v>46</v>
      </c>
      <c r="B11">
        <v>39</v>
      </c>
      <c r="C11">
        <v>445</v>
      </c>
      <c r="D11">
        <v>202</v>
      </c>
      <c r="E11">
        <v>14</v>
      </c>
      <c r="F11">
        <v>700</v>
      </c>
    </row>
    <row r="12" spans="1:12" x14ac:dyDescent="0.3">
      <c r="A12" s="3" t="s">
        <v>32</v>
      </c>
      <c r="B12">
        <v>15</v>
      </c>
      <c r="C12">
        <v>431</v>
      </c>
      <c r="D12">
        <v>187</v>
      </c>
      <c r="E12">
        <v>14</v>
      </c>
      <c r="F12">
        <v>647</v>
      </c>
    </row>
    <row r="13" spans="1:12" x14ac:dyDescent="0.3">
      <c r="A13" s="3" t="s">
        <v>42</v>
      </c>
      <c r="B13">
        <v>9</v>
      </c>
      <c r="C13">
        <v>264</v>
      </c>
      <c r="D13">
        <v>318</v>
      </c>
      <c r="E13">
        <v>15</v>
      </c>
      <c r="F13">
        <v>606</v>
      </c>
    </row>
    <row r="14" spans="1:12" x14ac:dyDescent="0.3">
      <c r="A14" s="3" t="s">
        <v>37</v>
      </c>
      <c r="B14">
        <v>23</v>
      </c>
      <c r="C14">
        <v>296</v>
      </c>
      <c r="D14">
        <v>275</v>
      </c>
      <c r="E14">
        <v>9</v>
      </c>
      <c r="F14">
        <v>603</v>
      </c>
    </row>
    <row r="15" spans="1:12" x14ac:dyDescent="0.3">
      <c r="A15" s="3" t="s">
        <v>123</v>
      </c>
      <c r="B15">
        <v>8</v>
      </c>
      <c r="C15">
        <v>153</v>
      </c>
      <c r="D15">
        <v>246</v>
      </c>
      <c r="E15">
        <v>30</v>
      </c>
      <c r="F15">
        <v>437</v>
      </c>
    </row>
    <row r="16" spans="1:12" x14ac:dyDescent="0.3">
      <c r="A16" s="3" t="s">
        <v>146</v>
      </c>
      <c r="B16">
        <v>31</v>
      </c>
      <c r="C16">
        <v>189</v>
      </c>
      <c r="D16">
        <v>168</v>
      </c>
      <c r="E16">
        <v>10</v>
      </c>
      <c r="F16">
        <v>398</v>
      </c>
    </row>
    <row r="17" spans="1:6" x14ac:dyDescent="0.3">
      <c r="A17" s="3" t="s">
        <v>69</v>
      </c>
      <c r="B17">
        <v>24</v>
      </c>
      <c r="C17">
        <v>234</v>
      </c>
      <c r="D17">
        <v>93</v>
      </c>
      <c r="E17">
        <v>19</v>
      </c>
      <c r="F17">
        <v>370</v>
      </c>
    </row>
    <row r="18" spans="1:6" x14ac:dyDescent="0.3">
      <c r="A18" s="3" t="s">
        <v>30</v>
      </c>
      <c r="B18">
        <v>28</v>
      </c>
      <c r="C18">
        <v>146</v>
      </c>
      <c r="D18">
        <v>94</v>
      </c>
      <c r="E18">
        <v>4</v>
      </c>
      <c r="F18">
        <v>272</v>
      </c>
    </row>
    <row r="19" spans="1:6" x14ac:dyDescent="0.3">
      <c r="A19" s="3" t="s">
        <v>135</v>
      </c>
      <c r="B19">
        <v>12</v>
      </c>
      <c r="C19">
        <v>127</v>
      </c>
      <c r="D19">
        <v>118</v>
      </c>
      <c r="E19">
        <v>13</v>
      </c>
      <c r="F19">
        <v>270</v>
      </c>
    </row>
    <row r="20" spans="1:6" x14ac:dyDescent="0.3">
      <c r="A20" s="3" t="s">
        <v>67</v>
      </c>
      <c r="C20">
        <v>179</v>
      </c>
      <c r="D20">
        <v>76</v>
      </c>
      <c r="E20">
        <v>3</v>
      </c>
      <c r="F20">
        <v>258</v>
      </c>
    </row>
    <row r="21" spans="1:6" x14ac:dyDescent="0.3">
      <c r="A21" s="3" t="s">
        <v>128</v>
      </c>
      <c r="B21">
        <v>24</v>
      </c>
      <c r="C21">
        <v>99</v>
      </c>
      <c r="D21">
        <v>69</v>
      </c>
      <c r="E21">
        <v>3</v>
      </c>
      <c r="F21">
        <v>195</v>
      </c>
    </row>
    <row r="22" spans="1:6" x14ac:dyDescent="0.3">
      <c r="A22" s="3" t="s">
        <v>76</v>
      </c>
      <c r="B22">
        <v>6</v>
      </c>
      <c r="C22">
        <v>75</v>
      </c>
      <c r="D22">
        <v>103</v>
      </c>
      <c r="E22">
        <v>4</v>
      </c>
      <c r="F22">
        <v>188</v>
      </c>
    </row>
    <row r="23" spans="1:6" x14ac:dyDescent="0.3">
      <c r="A23" s="3" t="s">
        <v>81</v>
      </c>
      <c r="B23">
        <v>6</v>
      </c>
      <c r="C23">
        <v>43</v>
      </c>
      <c r="D23">
        <v>90</v>
      </c>
      <c r="E23">
        <v>8</v>
      </c>
      <c r="F23">
        <v>147</v>
      </c>
    </row>
    <row r="24" spans="1:6" x14ac:dyDescent="0.3">
      <c r="A24" s="3" t="s">
        <v>171</v>
      </c>
      <c r="C24">
        <v>26</v>
      </c>
      <c r="D24">
        <v>35</v>
      </c>
      <c r="E24">
        <v>4</v>
      </c>
      <c r="F24">
        <v>65</v>
      </c>
    </row>
    <row r="25" spans="1:6" x14ac:dyDescent="0.3">
      <c r="A25" s="3" t="s">
        <v>2514</v>
      </c>
      <c r="B25">
        <v>736</v>
      </c>
      <c r="C25">
        <v>6272</v>
      </c>
      <c r="D25">
        <v>4672</v>
      </c>
      <c r="E25">
        <v>317</v>
      </c>
      <c r="F25">
        <v>11997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99FD0-D476-4E60-BB6C-56B4016DCB0B}">
  <dimension ref="A2:H61"/>
  <sheetViews>
    <sheetView workbookViewId="0">
      <selection activeCell="P19" sqref="P19"/>
    </sheetView>
  </sheetViews>
  <sheetFormatPr defaultRowHeight="14.4" x14ac:dyDescent="0.3"/>
  <cols>
    <col min="1" max="1" width="22.77734375" bestFit="1" customWidth="1"/>
    <col min="2" max="2" width="19.6640625" bestFit="1" customWidth="1"/>
    <col min="3" max="3" width="14.21875" bestFit="1" customWidth="1"/>
    <col min="4" max="4" width="13.5546875" bestFit="1" customWidth="1"/>
    <col min="7" max="7" width="19.6640625" bestFit="1" customWidth="1"/>
  </cols>
  <sheetData>
    <row r="2" spans="1:8" x14ac:dyDescent="0.3">
      <c r="F2" t="s">
        <v>2524</v>
      </c>
    </row>
    <row r="3" spans="1:8" x14ac:dyDescent="0.3">
      <c r="A3" s="4" t="s">
        <v>10</v>
      </c>
      <c r="B3" s="4" t="s">
        <v>11</v>
      </c>
      <c r="C3" t="s">
        <v>2505</v>
      </c>
      <c r="D3" t="s">
        <v>2506</v>
      </c>
      <c r="F3" s="5" t="s">
        <v>10</v>
      </c>
      <c r="G3" s="5" t="s">
        <v>2523</v>
      </c>
      <c r="H3" s="5" t="s">
        <v>2</v>
      </c>
    </row>
    <row r="4" spans="1:8" x14ac:dyDescent="0.3">
      <c r="A4" t="s">
        <v>19</v>
      </c>
      <c r="B4" t="s">
        <v>115</v>
      </c>
      <c r="C4">
        <v>579</v>
      </c>
      <c r="D4">
        <v>31884.999999999996</v>
      </c>
      <c r="F4" t="s">
        <v>19</v>
      </c>
      <c r="G4" t="s">
        <v>115</v>
      </c>
      <c r="H4">
        <v>579</v>
      </c>
    </row>
    <row r="5" spans="1:8" x14ac:dyDescent="0.3">
      <c r="A5" t="s">
        <v>19</v>
      </c>
      <c r="B5" t="s">
        <v>20</v>
      </c>
      <c r="C5">
        <v>1</v>
      </c>
      <c r="D5">
        <v>10.9</v>
      </c>
      <c r="F5" t="s">
        <v>19</v>
      </c>
      <c r="G5" t="s">
        <v>20</v>
      </c>
      <c r="H5">
        <v>1</v>
      </c>
    </row>
    <row r="6" spans="1:8" x14ac:dyDescent="0.3">
      <c r="A6" t="s">
        <v>19</v>
      </c>
      <c r="B6" t="s">
        <v>641</v>
      </c>
      <c r="C6">
        <v>9</v>
      </c>
      <c r="D6">
        <v>800.3</v>
      </c>
      <c r="F6" t="s">
        <v>19</v>
      </c>
      <c r="G6" t="s">
        <v>641</v>
      </c>
      <c r="H6">
        <v>9</v>
      </c>
    </row>
    <row r="7" spans="1:8" x14ac:dyDescent="0.3">
      <c r="A7" t="s">
        <v>19</v>
      </c>
      <c r="B7" t="s">
        <v>967</v>
      </c>
      <c r="C7">
        <v>35</v>
      </c>
      <c r="D7">
        <v>1062.5999999999999</v>
      </c>
      <c r="F7" t="s">
        <v>19</v>
      </c>
      <c r="G7" t="s">
        <v>967</v>
      </c>
      <c r="H7">
        <v>35</v>
      </c>
    </row>
    <row r="8" spans="1:8" x14ac:dyDescent="0.3">
      <c r="A8" t="s">
        <v>19</v>
      </c>
      <c r="B8" t="s">
        <v>84</v>
      </c>
      <c r="C8">
        <v>12</v>
      </c>
      <c r="D8">
        <v>326.20000000000005</v>
      </c>
      <c r="F8" t="s">
        <v>19</v>
      </c>
      <c r="G8" t="s">
        <v>84</v>
      </c>
      <c r="H8">
        <v>12</v>
      </c>
    </row>
    <row r="9" spans="1:8" x14ac:dyDescent="0.3">
      <c r="A9" t="s">
        <v>19</v>
      </c>
      <c r="B9" t="s">
        <v>1383</v>
      </c>
      <c r="C9">
        <v>4</v>
      </c>
      <c r="D9">
        <v>167.5</v>
      </c>
      <c r="F9" t="s">
        <v>19</v>
      </c>
      <c r="G9" t="s">
        <v>1383</v>
      </c>
      <c r="H9">
        <v>4</v>
      </c>
    </row>
    <row r="10" spans="1:8" x14ac:dyDescent="0.3">
      <c r="A10" t="s">
        <v>19</v>
      </c>
      <c r="B10" t="s">
        <v>24</v>
      </c>
      <c r="C10">
        <v>341</v>
      </c>
      <c r="D10">
        <v>16168.7</v>
      </c>
      <c r="F10" t="s">
        <v>19</v>
      </c>
      <c r="G10" t="s">
        <v>24</v>
      </c>
      <c r="H10">
        <v>341</v>
      </c>
    </row>
    <row r="11" spans="1:8" x14ac:dyDescent="0.3">
      <c r="A11" t="s">
        <v>19</v>
      </c>
      <c r="B11" t="s">
        <v>2204</v>
      </c>
      <c r="C11">
        <v>13</v>
      </c>
      <c r="D11">
        <v>322.40000000000003</v>
      </c>
      <c r="F11" t="s">
        <v>19</v>
      </c>
      <c r="G11" t="s">
        <v>2204</v>
      </c>
      <c r="H11">
        <v>13</v>
      </c>
    </row>
    <row r="12" spans="1:8" x14ac:dyDescent="0.3">
      <c r="A12" t="s">
        <v>19</v>
      </c>
      <c r="B12" t="s">
        <v>437</v>
      </c>
      <c r="C12">
        <v>31</v>
      </c>
      <c r="D12">
        <v>2092.8000000000002</v>
      </c>
      <c r="F12" t="s">
        <v>19</v>
      </c>
      <c r="G12" t="s">
        <v>437</v>
      </c>
      <c r="H12">
        <v>31</v>
      </c>
    </row>
    <row r="13" spans="1:8" x14ac:dyDescent="0.3">
      <c r="A13" t="s">
        <v>19</v>
      </c>
      <c r="B13" t="s">
        <v>28</v>
      </c>
      <c r="C13">
        <v>279</v>
      </c>
      <c r="D13">
        <v>12662.500000000002</v>
      </c>
      <c r="F13" t="s">
        <v>19</v>
      </c>
      <c r="G13" t="s">
        <v>28</v>
      </c>
      <c r="H13">
        <v>279</v>
      </c>
    </row>
    <row r="14" spans="1:8" x14ac:dyDescent="0.3">
      <c r="A14" t="s">
        <v>19</v>
      </c>
      <c r="B14" t="s">
        <v>208</v>
      </c>
      <c r="C14">
        <v>9</v>
      </c>
      <c r="D14">
        <v>343.2</v>
      </c>
      <c r="F14" t="s">
        <v>19</v>
      </c>
      <c r="G14" t="s">
        <v>208</v>
      </c>
      <c r="H14">
        <v>9</v>
      </c>
    </row>
    <row r="15" spans="1:8" x14ac:dyDescent="0.3">
      <c r="A15" t="s">
        <v>19</v>
      </c>
      <c r="B15" t="s">
        <v>587</v>
      </c>
      <c r="C15">
        <v>49</v>
      </c>
      <c r="D15">
        <v>2188.2999999999997</v>
      </c>
      <c r="F15" t="s">
        <v>19</v>
      </c>
      <c r="G15" t="s">
        <v>587</v>
      </c>
      <c r="H15">
        <v>49</v>
      </c>
    </row>
    <row r="16" spans="1:8" x14ac:dyDescent="0.3">
      <c r="A16" t="s">
        <v>19</v>
      </c>
      <c r="B16" t="s">
        <v>331</v>
      </c>
      <c r="C16">
        <v>59</v>
      </c>
      <c r="D16">
        <v>2661.5999999999995</v>
      </c>
      <c r="F16" t="s">
        <v>19</v>
      </c>
      <c r="G16" t="s">
        <v>331</v>
      </c>
      <c r="H16">
        <v>59</v>
      </c>
    </row>
    <row r="17" spans="1:8" x14ac:dyDescent="0.3">
      <c r="A17" t="s">
        <v>19</v>
      </c>
      <c r="B17" t="s">
        <v>86</v>
      </c>
      <c r="C17">
        <v>8</v>
      </c>
      <c r="D17">
        <v>887.5</v>
      </c>
      <c r="F17" t="s">
        <v>19</v>
      </c>
      <c r="G17" t="s">
        <v>86</v>
      </c>
      <c r="H17">
        <v>8</v>
      </c>
    </row>
    <row r="18" spans="1:8" x14ac:dyDescent="0.3">
      <c r="A18" t="s">
        <v>19</v>
      </c>
      <c r="B18" t="s">
        <v>147</v>
      </c>
      <c r="C18">
        <v>222</v>
      </c>
      <c r="D18">
        <v>11354.199999999993</v>
      </c>
      <c r="F18" t="s">
        <v>19</v>
      </c>
      <c r="G18" t="s">
        <v>147</v>
      </c>
      <c r="H18">
        <v>222</v>
      </c>
    </row>
    <row r="19" spans="1:8" x14ac:dyDescent="0.3">
      <c r="A19" t="s">
        <v>19</v>
      </c>
      <c r="B19" t="s">
        <v>334</v>
      </c>
      <c r="C19">
        <v>36</v>
      </c>
      <c r="D19">
        <v>1558.4</v>
      </c>
      <c r="F19" t="s">
        <v>19</v>
      </c>
      <c r="G19" t="s">
        <v>334</v>
      </c>
      <c r="H19">
        <v>36</v>
      </c>
    </row>
    <row r="20" spans="1:8" x14ac:dyDescent="0.3">
      <c r="A20" t="s">
        <v>19</v>
      </c>
      <c r="B20" t="s">
        <v>949</v>
      </c>
      <c r="C20">
        <v>30</v>
      </c>
      <c r="D20">
        <v>2223.9</v>
      </c>
      <c r="F20" t="s">
        <v>19</v>
      </c>
      <c r="G20" t="s">
        <v>949</v>
      </c>
      <c r="H20">
        <v>30</v>
      </c>
    </row>
    <row r="21" spans="1:8" x14ac:dyDescent="0.3">
      <c r="A21" t="s">
        <v>19</v>
      </c>
      <c r="B21" t="s">
        <v>1426</v>
      </c>
      <c r="C21">
        <v>1</v>
      </c>
      <c r="D21">
        <v>26.2</v>
      </c>
      <c r="F21" t="s">
        <v>19</v>
      </c>
      <c r="G21" t="s">
        <v>1426</v>
      </c>
      <c r="H21">
        <v>1</v>
      </c>
    </row>
    <row r="22" spans="1:8" x14ac:dyDescent="0.3">
      <c r="A22" t="s">
        <v>19</v>
      </c>
      <c r="B22" t="s">
        <v>33</v>
      </c>
      <c r="C22">
        <v>3991</v>
      </c>
      <c r="D22">
        <v>215551.19999999981</v>
      </c>
      <c r="F22" t="s">
        <v>19</v>
      </c>
      <c r="G22" t="s">
        <v>33</v>
      </c>
      <c r="H22">
        <v>3991</v>
      </c>
    </row>
    <row r="23" spans="1:8" x14ac:dyDescent="0.3">
      <c r="A23" t="s">
        <v>19</v>
      </c>
      <c r="B23" t="s">
        <v>364</v>
      </c>
      <c r="C23">
        <v>45</v>
      </c>
      <c r="D23">
        <v>2687.3999999999996</v>
      </c>
      <c r="F23" t="s">
        <v>19</v>
      </c>
      <c r="G23" t="s">
        <v>364</v>
      </c>
      <c r="H23">
        <v>45</v>
      </c>
    </row>
    <row r="24" spans="1:8" x14ac:dyDescent="0.3">
      <c r="A24" t="s">
        <v>19</v>
      </c>
      <c r="B24" t="s">
        <v>545</v>
      </c>
      <c r="C24">
        <v>39</v>
      </c>
      <c r="D24">
        <v>1463.3000000000002</v>
      </c>
      <c r="F24" t="s">
        <v>19</v>
      </c>
      <c r="G24" t="s">
        <v>545</v>
      </c>
      <c r="H24">
        <v>39</v>
      </c>
    </row>
    <row r="25" spans="1:8" x14ac:dyDescent="0.3">
      <c r="A25" t="s">
        <v>19</v>
      </c>
      <c r="B25" t="s">
        <v>416</v>
      </c>
      <c r="C25">
        <v>6</v>
      </c>
      <c r="D25">
        <v>445.79999999999995</v>
      </c>
      <c r="F25" t="s">
        <v>19</v>
      </c>
      <c r="G25" t="s">
        <v>416</v>
      </c>
      <c r="H25">
        <v>6</v>
      </c>
    </row>
    <row r="26" spans="1:8" x14ac:dyDescent="0.3">
      <c r="A26" t="s">
        <v>19</v>
      </c>
      <c r="B26" t="s">
        <v>258</v>
      </c>
      <c r="C26">
        <v>9</v>
      </c>
      <c r="D26">
        <v>273.59999999999997</v>
      </c>
      <c r="F26" t="s">
        <v>19</v>
      </c>
      <c r="G26" t="s">
        <v>258</v>
      </c>
      <c r="H26">
        <v>9</v>
      </c>
    </row>
    <row r="27" spans="1:8" x14ac:dyDescent="0.3">
      <c r="A27" t="s">
        <v>19</v>
      </c>
      <c r="B27" t="s">
        <v>186</v>
      </c>
      <c r="C27">
        <v>60</v>
      </c>
      <c r="D27">
        <v>2690.4</v>
      </c>
      <c r="F27" t="s">
        <v>19</v>
      </c>
      <c r="G27" t="s">
        <v>186</v>
      </c>
      <c r="H27">
        <v>60</v>
      </c>
    </row>
    <row r="28" spans="1:8" x14ac:dyDescent="0.3">
      <c r="A28" t="s">
        <v>19</v>
      </c>
      <c r="B28" t="s">
        <v>392</v>
      </c>
      <c r="C28">
        <v>2</v>
      </c>
      <c r="D28">
        <v>28.4</v>
      </c>
      <c r="F28" t="s">
        <v>19</v>
      </c>
      <c r="G28" t="s">
        <v>392</v>
      </c>
      <c r="H28">
        <v>2</v>
      </c>
    </row>
    <row r="29" spans="1:8" x14ac:dyDescent="0.3">
      <c r="A29" t="s">
        <v>19</v>
      </c>
      <c r="B29" t="s">
        <v>670</v>
      </c>
      <c r="C29">
        <v>4</v>
      </c>
      <c r="D29">
        <v>204.8</v>
      </c>
      <c r="F29" t="s">
        <v>19</v>
      </c>
      <c r="G29" t="s">
        <v>670</v>
      </c>
      <c r="H29">
        <v>4</v>
      </c>
    </row>
    <row r="30" spans="1:8" x14ac:dyDescent="0.3">
      <c r="A30" t="s">
        <v>19</v>
      </c>
      <c r="B30" t="s">
        <v>802</v>
      </c>
      <c r="C30">
        <v>31</v>
      </c>
      <c r="D30">
        <v>1607.8999999999999</v>
      </c>
      <c r="F30" t="s">
        <v>19</v>
      </c>
      <c r="G30" t="s">
        <v>802</v>
      </c>
      <c r="H30">
        <v>31</v>
      </c>
    </row>
    <row r="31" spans="1:8" x14ac:dyDescent="0.3">
      <c r="A31" t="s">
        <v>19</v>
      </c>
      <c r="B31" t="s">
        <v>98</v>
      </c>
      <c r="C31">
        <v>88</v>
      </c>
      <c r="D31">
        <v>6444.9</v>
      </c>
      <c r="F31" t="s">
        <v>19</v>
      </c>
      <c r="G31" t="s">
        <v>98</v>
      </c>
      <c r="H31">
        <v>88</v>
      </c>
    </row>
    <row r="32" spans="1:8" x14ac:dyDescent="0.3">
      <c r="A32" t="s">
        <v>19</v>
      </c>
      <c r="B32" t="s">
        <v>49</v>
      </c>
      <c r="C32">
        <v>25</v>
      </c>
      <c r="D32">
        <v>1809.3</v>
      </c>
      <c r="F32" t="s">
        <v>19</v>
      </c>
      <c r="G32" t="s">
        <v>49</v>
      </c>
      <c r="H32">
        <v>25</v>
      </c>
    </row>
    <row r="33" spans="1:8" x14ac:dyDescent="0.3">
      <c r="A33" t="s">
        <v>19</v>
      </c>
      <c r="B33" t="s">
        <v>188</v>
      </c>
      <c r="C33">
        <v>178</v>
      </c>
      <c r="D33">
        <v>9680.399999999996</v>
      </c>
      <c r="F33" t="s">
        <v>19</v>
      </c>
      <c r="G33" t="s">
        <v>188</v>
      </c>
      <c r="H33">
        <v>178</v>
      </c>
    </row>
    <row r="34" spans="1:8" x14ac:dyDescent="0.3">
      <c r="A34" t="s">
        <v>19</v>
      </c>
      <c r="B34" t="s">
        <v>52</v>
      </c>
      <c r="C34">
        <v>141</v>
      </c>
      <c r="D34">
        <v>9414.7999999999993</v>
      </c>
      <c r="F34" t="s">
        <v>19</v>
      </c>
      <c r="G34" t="s">
        <v>52</v>
      </c>
      <c r="H34">
        <v>141</v>
      </c>
    </row>
    <row r="35" spans="1:8" x14ac:dyDescent="0.3">
      <c r="A35" t="s">
        <v>19</v>
      </c>
      <c r="B35" t="s">
        <v>338</v>
      </c>
      <c r="C35">
        <v>6</v>
      </c>
      <c r="D35">
        <v>206.1</v>
      </c>
      <c r="F35" t="s">
        <v>19</v>
      </c>
      <c r="G35" t="s">
        <v>338</v>
      </c>
      <c r="H35">
        <v>6</v>
      </c>
    </row>
    <row r="36" spans="1:8" x14ac:dyDescent="0.3">
      <c r="A36" t="s">
        <v>19</v>
      </c>
      <c r="B36" t="s">
        <v>158</v>
      </c>
      <c r="C36">
        <v>178</v>
      </c>
      <c r="D36">
        <v>7691.3</v>
      </c>
      <c r="F36" t="s">
        <v>19</v>
      </c>
      <c r="G36" t="s">
        <v>158</v>
      </c>
      <c r="H36">
        <v>178</v>
      </c>
    </row>
    <row r="37" spans="1:8" x14ac:dyDescent="0.3">
      <c r="A37" t="s">
        <v>19</v>
      </c>
      <c r="B37" t="s">
        <v>55</v>
      </c>
      <c r="C37">
        <v>699</v>
      </c>
      <c r="D37">
        <v>37784.900000000016</v>
      </c>
      <c r="F37" t="s">
        <v>19</v>
      </c>
      <c r="G37" t="s">
        <v>55</v>
      </c>
      <c r="H37">
        <v>699</v>
      </c>
    </row>
    <row r="38" spans="1:8" x14ac:dyDescent="0.3">
      <c r="A38" t="s">
        <v>19</v>
      </c>
      <c r="B38" t="s">
        <v>342</v>
      </c>
      <c r="C38">
        <v>23</v>
      </c>
      <c r="D38">
        <v>1129.7</v>
      </c>
      <c r="F38" t="s">
        <v>19</v>
      </c>
      <c r="G38" t="s">
        <v>342</v>
      </c>
      <c r="H38">
        <v>23</v>
      </c>
    </row>
    <row r="39" spans="1:8" x14ac:dyDescent="0.3">
      <c r="A39" t="s">
        <v>19</v>
      </c>
      <c r="B39" t="s">
        <v>59</v>
      </c>
      <c r="C39">
        <v>356</v>
      </c>
      <c r="D39">
        <v>20988.9</v>
      </c>
      <c r="F39" t="s">
        <v>19</v>
      </c>
      <c r="G39" t="s">
        <v>59</v>
      </c>
      <c r="H39">
        <v>356</v>
      </c>
    </row>
    <row r="40" spans="1:8" x14ac:dyDescent="0.3">
      <c r="A40" t="s">
        <v>19</v>
      </c>
      <c r="B40" t="s">
        <v>62</v>
      </c>
      <c r="C40">
        <v>1768</v>
      </c>
      <c r="D40">
        <v>98367.099999999977</v>
      </c>
      <c r="F40" t="s">
        <v>19</v>
      </c>
      <c r="G40" t="s">
        <v>62</v>
      </c>
      <c r="H40">
        <v>1768</v>
      </c>
    </row>
    <row r="41" spans="1:8" x14ac:dyDescent="0.3">
      <c r="A41" t="s">
        <v>19</v>
      </c>
      <c r="B41" t="s">
        <v>103</v>
      </c>
      <c r="C41">
        <v>307</v>
      </c>
      <c r="D41">
        <v>21911.9</v>
      </c>
      <c r="F41" t="s">
        <v>19</v>
      </c>
      <c r="G41" t="s">
        <v>103</v>
      </c>
      <c r="H41">
        <v>307</v>
      </c>
    </row>
    <row r="42" spans="1:8" x14ac:dyDescent="0.3">
      <c r="A42" t="s">
        <v>19</v>
      </c>
      <c r="B42" t="s">
        <v>201</v>
      </c>
      <c r="C42">
        <v>117</v>
      </c>
      <c r="D42">
        <v>5441.2</v>
      </c>
      <c r="F42" t="s">
        <v>19</v>
      </c>
      <c r="G42" t="s">
        <v>201</v>
      </c>
      <c r="H42">
        <v>117</v>
      </c>
    </row>
    <row r="43" spans="1:8" x14ac:dyDescent="0.3">
      <c r="A43" t="s">
        <v>19</v>
      </c>
      <c r="B43" t="s">
        <v>429</v>
      </c>
      <c r="C43">
        <v>13</v>
      </c>
      <c r="D43">
        <v>392.8</v>
      </c>
      <c r="F43" t="s">
        <v>19</v>
      </c>
      <c r="G43" t="s">
        <v>429</v>
      </c>
      <c r="H43">
        <v>13</v>
      </c>
    </row>
    <row r="44" spans="1:8" x14ac:dyDescent="0.3">
      <c r="A44" t="s">
        <v>19</v>
      </c>
      <c r="B44" t="s">
        <v>72</v>
      </c>
      <c r="C44">
        <v>364</v>
      </c>
      <c r="D44">
        <v>16172.000000000005</v>
      </c>
      <c r="F44" t="s">
        <v>19</v>
      </c>
      <c r="G44" t="s">
        <v>72</v>
      </c>
      <c r="H44">
        <v>364</v>
      </c>
    </row>
    <row r="45" spans="1:8" x14ac:dyDescent="0.3">
      <c r="A45" t="s">
        <v>19</v>
      </c>
      <c r="B45" t="s">
        <v>74</v>
      </c>
      <c r="C45">
        <v>95</v>
      </c>
      <c r="D45">
        <v>4334.9999999999991</v>
      </c>
      <c r="F45" t="s">
        <v>19</v>
      </c>
      <c r="G45" t="s">
        <v>74</v>
      </c>
      <c r="H45">
        <v>95</v>
      </c>
    </row>
    <row r="46" spans="1:8" x14ac:dyDescent="0.3">
      <c r="A46" t="s">
        <v>19</v>
      </c>
      <c r="B46" t="s">
        <v>77</v>
      </c>
      <c r="C46">
        <v>737</v>
      </c>
      <c r="D46">
        <v>37449.000000000007</v>
      </c>
      <c r="F46" t="s">
        <v>19</v>
      </c>
      <c r="G46" t="s">
        <v>77</v>
      </c>
      <c r="H46">
        <v>737</v>
      </c>
    </row>
    <row r="47" spans="1:8" x14ac:dyDescent="0.3">
      <c r="A47" t="s">
        <v>19</v>
      </c>
      <c r="B47" t="s">
        <v>309</v>
      </c>
      <c r="C47">
        <v>39</v>
      </c>
      <c r="D47">
        <v>2447.5</v>
      </c>
      <c r="F47" t="s">
        <v>19</v>
      </c>
      <c r="G47" t="s">
        <v>309</v>
      </c>
      <c r="H47">
        <v>39</v>
      </c>
    </row>
    <row r="48" spans="1:8" x14ac:dyDescent="0.3">
      <c r="A48" t="s">
        <v>19</v>
      </c>
      <c r="B48" t="s">
        <v>1116</v>
      </c>
      <c r="C48">
        <v>56</v>
      </c>
      <c r="D48">
        <v>3391.1</v>
      </c>
      <c r="F48" t="s">
        <v>19</v>
      </c>
      <c r="G48" t="s">
        <v>1116</v>
      </c>
      <c r="H48">
        <v>56</v>
      </c>
    </row>
    <row r="49" spans="1:8" x14ac:dyDescent="0.3">
      <c r="A49" t="s">
        <v>19</v>
      </c>
      <c r="B49" t="s">
        <v>700</v>
      </c>
      <c r="C49">
        <v>2</v>
      </c>
      <c r="D49">
        <v>30.8</v>
      </c>
      <c r="F49" t="s">
        <v>19</v>
      </c>
      <c r="G49" t="s">
        <v>700</v>
      </c>
      <c r="H49">
        <v>2</v>
      </c>
    </row>
    <row r="50" spans="1:8" x14ac:dyDescent="0.3">
      <c r="A50" t="s">
        <v>19</v>
      </c>
      <c r="B50" t="s">
        <v>268</v>
      </c>
      <c r="C50">
        <v>8</v>
      </c>
      <c r="D50">
        <v>332.3</v>
      </c>
      <c r="F50" t="s">
        <v>19</v>
      </c>
      <c r="G50" t="s">
        <v>268</v>
      </c>
      <c r="H50">
        <v>8</v>
      </c>
    </row>
    <row r="51" spans="1:8" x14ac:dyDescent="0.3">
      <c r="A51" t="s">
        <v>19</v>
      </c>
      <c r="B51" t="s">
        <v>377</v>
      </c>
      <c r="C51">
        <v>52</v>
      </c>
      <c r="D51">
        <v>3175.9999999999995</v>
      </c>
      <c r="F51" t="s">
        <v>19</v>
      </c>
      <c r="G51" t="s">
        <v>377</v>
      </c>
      <c r="H51">
        <v>52</v>
      </c>
    </row>
    <row r="52" spans="1:8" x14ac:dyDescent="0.3">
      <c r="A52" t="s">
        <v>19</v>
      </c>
      <c r="B52" t="s">
        <v>108</v>
      </c>
      <c r="C52">
        <v>295</v>
      </c>
      <c r="D52">
        <v>20939.600000000002</v>
      </c>
      <c r="F52" t="s">
        <v>19</v>
      </c>
      <c r="G52" t="s">
        <v>108</v>
      </c>
      <c r="H52">
        <v>295</v>
      </c>
    </row>
    <row r="53" spans="1:8" x14ac:dyDescent="0.3">
      <c r="A53" t="s">
        <v>19</v>
      </c>
      <c r="B53" t="s">
        <v>110</v>
      </c>
      <c r="C53">
        <v>195</v>
      </c>
      <c r="D53">
        <v>10185.899999999996</v>
      </c>
      <c r="F53" t="s">
        <v>19</v>
      </c>
      <c r="G53" t="s">
        <v>110</v>
      </c>
      <c r="H53">
        <v>195</v>
      </c>
    </row>
    <row r="54" spans="1:8" x14ac:dyDescent="0.3">
      <c r="A54" t="s">
        <v>19</v>
      </c>
      <c r="B54" t="s">
        <v>292</v>
      </c>
      <c r="C54">
        <v>20</v>
      </c>
      <c r="D54">
        <v>958.7</v>
      </c>
      <c r="F54" t="s">
        <v>19</v>
      </c>
      <c r="G54" t="s">
        <v>292</v>
      </c>
      <c r="H54">
        <v>20</v>
      </c>
    </row>
    <row r="55" spans="1:8" x14ac:dyDescent="0.3">
      <c r="A55" t="s">
        <v>19</v>
      </c>
      <c r="B55" t="s">
        <v>79</v>
      </c>
      <c r="C55">
        <v>6</v>
      </c>
      <c r="D55">
        <v>323</v>
      </c>
      <c r="F55" t="s">
        <v>19</v>
      </c>
      <c r="G55" t="s">
        <v>79</v>
      </c>
      <c r="H55">
        <v>6</v>
      </c>
    </row>
    <row r="56" spans="1:8" x14ac:dyDescent="0.3">
      <c r="A56" t="s">
        <v>19</v>
      </c>
      <c r="B56" t="s">
        <v>608</v>
      </c>
      <c r="C56">
        <v>5</v>
      </c>
      <c r="D56">
        <v>167.70000000000002</v>
      </c>
      <c r="F56" t="s">
        <v>19</v>
      </c>
      <c r="G56" t="s">
        <v>608</v>
      </c>
      <c r="H56">
        <v>5</v>
      </c>
    </row>
    <row r="57" spans="1:8" x14ac:dyDescent="0.3">
      <c r="A57" t="s">
        <v>19</v>
      </c>
      <c r="B57" t="s">
        <v>113</v>
      </c>
      <c r="C57">
        <v>94</v>
      </c>
      <c r="D57">
        <v>3978.5</v>
      </c>
      <c r="F57" t="s">
        <v>19</v>
      </c>
      <c r="G57" t="s">
        <v>113</v>
      </c>
      <c r="H57">
        <v>94</v>
      </c>
    </row>
    <row r="58" spans="1:8" x14ac:dyDescent="0.3">
      <c r="A58" t="s">
        <v>19</v>
      </c>
      <c r="B58" t="s">
        <v>997</v>
      </c>
      <c r="C58">
        <v>28</v>
      </c>
      <c r="D58">
        <v>1405</v>
      </c>
      <c r="F58" t="s">
        <v>19</v>
      </c>
      <c r="G58" t="s">
        <v>997</v>
      </c>
      <c r="H58">
        <v>28</v>
      </c>
    </row>
    <row r="59" spans="1:8" x14ac:dyDescent="0.3">
      <c r="A59" t="s">
        <v>19</v>
      </c>
      <c r="B59" t="s">
        <v>82</v>
      </c>
      <c r="C59">
        <v>179</v>
      </c>
      <c r="D59">
        <v>9869.0999999999985</v>
      </c>
      <c r="F59" t="s">
        <v>19</v>
      </c>
      <c r="G59" t="s">
        <v>82</v>
      </c>
      <c r="H59">
        <v>179</v>
      </c>
    </row>
    <row r="60" spans="1:8" x14ac:dyDescent="0.3">
      <c r="A60" t="s">
        <v>19</v>
      </c>
      <c r="B60" t="s">
        <v>243</v>
      </c>
      <c r="C60">
        <v>15</v>
      </c>
      <c r="D60">
        <v>615.29999999999995</v>
      </c>
      <c r="F60" t="s">
        <v>19</v>
      </c>
      <c r="G60" t="s">
        <v>243</v>
      </c>
      <c r="H60">
        <v>15</v>
      </c>
    </row>
    <row r="61" spans="1:8" x14ac:dyDescent="0.3">
      <c r="A61" t="s">
        <v>19</v>
      </c>
      <c r="B61" t="s">
        <v>1911</v>
      </c>
      <c r="C61">
        <v>3</v>
      </c>
      <c r="D61">
        <v>285</v>
      </c>
      <c r="F61" t="s">
        <v>19</v>
      </c>
      <c r="G61" t="s">
        <v>1911</v>
      </c>
      <c r="H61">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AA1E9-3C0C-4A23-9C1D-CE39972EF15A}">
  <dimension ref="A3:B19"/>
  <sheetViews>
    <sheetView workbookViewId="0">
      <selection activeCell="B8" sqref="B8"/>
    </sheetView>
  </sheetViews>
  <sheetFormatPr defaultRowHeight="14.4" x14ac:dyDescent="0.3"/>
  <cols>
    <col min="1" max="1" width="12.44140625" bestFit="1" customWidth="1"/>
    <col min="2" max="2" width="12.21875" bestFit="1" customWidth="1"/>
  </cols>
  <sheetData>
    <row r="3" spans="1:2" x14ac:dyDescent="0.3">
      <c r="A3" s="4" t="s">
        <v>2513</v>
      </c>
      <c r="B3" t="s">
        <v>2504</v>
      </c>
    </row>
    <row r="4" spans="1:2" x14ac:dyDescent="0.3">
      <c r="A4" s="3">
        <v>0</v>
      </c>
      <c r="B4">
        <v>175</v>
      </c>
    </row>
    <row r="5" spans="1:2" x14ac:dyDescent="0.3">
      <c r="A5" s="3">
        <v>1</v>
      </c>
      <c r="B5">
        <v>888</v>
      </c>
    </row>
    <row r="6" spans="1:2" x14ac:dyDescent="0.3">
      <c r="A6" s="3">
        <v>2</v>
      </c>
      <c r="B6">
        <v>538</v>
      </c>
    </row>
    <row r="7" spans="1:2" x14ac:dyDescent="0.3">
      <c r="A7" s="3">
        <v>3</v>
      </c>
      <c r="B7">
        <v>344</v>
      </c>
    </row>
    <row r="8" spans="1:2" x14ac:dyDescent="0.3">
      <c r="A8" s="3">
        <v>4</v>
      </c>
      <c r="B8">
        <v>200</v>
      </c>
    </row>
    <row r="9" spans="1:2" x14ac:dyDescent="0.3">
      <c r="A9" s="3">
        <v>5</v>
      </c>
      <c r="B9">
        <v>94</v>
      </c>
    </row>
    <row r="10" spans="1:2" x14ac:dyDescent="0.3">
      <c r="A10" s="3">
        <v>6</v>
      </c>
      <c r="B10">
        <v>51</v>
      </c>
    </row>
    <row r="11" spans="1:2" x14ac:dyDescent="0.3">
      <c r="A11" s="3">
        <v>7</v>
      </c>
      <c r="B11">
        <v>32</v>
      </c>
    </row>
    <row r="12" spans="1:2" x14ac:dyDescent="0.3">
      <c r="A12" s="3">
        <v>8</v>
      </c>
      <c r="B12">
        <v>23</v>
      </c>
    </row>
    <row r="13" spans="1:2" x14ac:dyDescent="0.3">
      <c r="A13" s="3">
        <v>9</v>
      </c>
      <c r="B13">
        <v>9</v>
      </c>
    </row>
    <row r="14" spans="1:2" x14ac:dyDescent="0.3">
      <c r="A14" s="3">
        <v>10</v>
      </c>
      <c r="B14">
        <v>8</v>
      </c>
    </row>
    <row r="15" spans="1:2" x14ac:dyDescent="0.3">
      <c r="A15" s="3">
        <v>11</v>
      </c>
      <c r="B15">
        <v>11</v>
      </c>
    </row>
    <row r="16" spans="1:2" x14ac:dyDescent="0.3">
      <c r="A16" s="3">
        <v>12</v>
      </c>
      <c r="B16">
        <v>4</v>
      </c>
    </row>
    <row r="17" spans="1:2" x14ac:dyDescent="0.3">
      <c r="A17" s="3">
        <v>13</v>
      </c>
      <c r="B17">
        <v>10</v>
      </c>
    </row>
    <row r="18" spans="1:2" x14ac:dyDescent="0.3">
      <c r="A18" s="3">
        <v>14</v>
      </c>
      <c r="B18">
        <v>13</v>
      </c>
    </row>
    <row r="19" spans="1:2" x14ac:dyDescent="0.3">
      <c r="A19" s="3" t="s">
        <v>2514</v>
      </c>
      <c r="B19">
        <v>2400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BCC4F-CC16-4195-83DD-C6FDC5FDB2DD}">
  <dimension ref="A3:G8"/>
  <sheetViews>
    <sheetView tabSelected="1" workbookViewId="0">
      <selection activeCell="C6" sqref="C6"/>
    </sheetView>
  </sheetViews>
  <sheetFormatPr defaultRowHeight="14.4" x14ac:dyDescent="0.3"/>
  <cols>
    <col min="1" max="1" width="12.44140625" bestFit="1" customWidth="1"/>
    <col min="2" max="2" width="15.5546875" bestFit="1" customWidth="1"/>
    <col min="3" max="4" width="4" bestFit="1" customWidth="1"/>
    <col min="5" max="5" width="5" bestFit="1" customWidth="1"/>
    <col min="6" max="6" width="4" bestFit="1" customWidth="1"/>
    <col min="7" max="7" width="10.5546875" bestFit="1" customWidth="1"/>
    <col min="8" max="10" width="8" bestFit="1" customWidth="1"/>
    <col min="11" max="32" width="9" bestFit="1" customWidth="1"/>
    <col min="33" max="41" width="8.44140625" bestFit="1" customWidth="1"/>
    <col min="42" max="60" width="9.44140625" bestFit="1" customWidth="1"/>
    <col min="61" max="69" width="8.44140625" bestFit="1" customWidth="1"/>
    <col min="70" max="89" width="9.44140625" bestFit="1" customWidth="1"/>
    <col min="90" max="90" width="10.5546875" bestFit="1" customWidth="1"/>
  </cols>
  <sheetData>
    <row r="3" spans="1:7" x14ac:dyDescent="0.3">
      <c r="A3" s="4" t="s">
        <v>2504</v>
      </c>
      <c r="B3" s="4" t="s">
        <v>2515</v>
      </c>
    </row>
    <row r="4" spans="1:7" x14ac:dyDescent="0.3">
      <c r="A4" s="4" t="s">
        <v>2513</v>
      </c>
      <c r="B4">
        <v>1</v>
      </c>
      <c r="C4">
        <v>2</v>
      </c>
      <c r="D4">
        <v>3</v>
      </c>
      <c r="E4">
        <v>4</v>
      </c>
      <c r="F4">
        <v>5</v>
      </c>
      <c r="G4" t="s">
        <v>2514</v>
      </c>
    </row>
    <row r="5" spans="1:7" x14ac:dyDescent="0.3">
      <c r="A5" s="3" t="s">
        <v>2525</v>
      </c>
      <c r="B5">
        <v>7</v>
      </c>
      <c r="C5">
        <v>37</v>
      </c>
      <c r="D5">
        <v>150</v>
      </c>
      <c r="E5">
        <v>312</v>
      </c>
      <c r="F5">
        <v>224</v>
      </c>
      <c r="G5">
        <v>730</v>
      </c>
    </row>
    <row r="6" spans="1:7" x14ac:dyDescent="0.3">
      <c r="A6" s="3" t="s">
        <v>2526</v>
      </c>
      <c r="B6">
        <v>8</v>
      </c>
      <c r="C6">
        <v>51</v>
      </c>
      <c r="D6">
        <v>182</v>
      </c>
      <c r="E6">
        <v>373</v>
      </c>
      <c r="F6">
        <v>247</v>
      </c>
      <c r="G6">
        <v>861</v>
      </c>
    </row>
    <row r="7" spans="1:7" x14ac:dyDescent="0.3">
      <c r="A7" s="3" t="s">
        <v>2527</v>
      </c>
      <c r="B7">
        <v>6</v>
      </c>
      <c r="C7">
        <v>39</v>
      </c>
      <c r="D7">
        <v>163</v>
      </c>
      <c r="E7">
        <v>351</v>
      </c>
      <c r="F7">
        <v>250</v>
      </c>
      <c r="G7">
        <v>809</v>
      </c>
    </row>
    <row r="8" spans="1:7" x14ac:dyDescent="0.3">
      <c r="A8" s="3" t="s">
        <v>2514</v>
      </c>
      <c r="B8">
        <v>21</v>
      </c>
      <c r="C8">
        <v>127</v>
      </c>
      <c r="D8">
        <v>495</v>
      </c>
      <c r="E8">
        <v>1036</v>
      </c>
      <c r="F8">
        <v>721</v>
      </c>
      <c r="G8">
        <v>2400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vt:lpstr>
      <vt:lpstr>Pivot - Business Summary</vt:lpstr>
      <vt:lpstr>Pivot - Purchase Patterns</vt:lpstr>
      <vt:lpstr>Pivot - Quality Distributation</vt:lpstr>
      <vt:lpstr>Pivot - Popular Products</vt:lpstr>
      <vt:lpstr>Pivot - Quantity</vt:lpstr>
      <vt:lpstr>Pivot - How long to Ship</vt:lpstr>
      <vt:lpstr>Pivot - Customer 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Vintage Systems</cp:lastModifiedBy>
  <dcterms:created xsi:type="dcterms:W3CDTF">2025-06-13T02:42:26Z</dcterms:created>
  <dcterms:modified xsi:type="dcterms:W3CDTF">2026-03-27T23:02:02Z</dcterms:modified>
</cp:coreProperties>
</file>